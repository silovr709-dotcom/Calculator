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13635"/>
  </bookViews>
  <sheets>
    <sheet name="БЛАНК" sheetId="1" r:id="rId1"/>
    <sheet name="Спецификация клиенту" sheetId="4" r:id="rId2"/>
    <sheet name="Фасады" sheetId="6" r:id="rId3"/>
    <sheet name="Фасады " sheetId="8" r:id="rId4"/>
    <sheet name="Лист1" sheetId="7" r:id="rId5"/>
    <sheet name="Лист1 (2)" sheetId="9" r:id="rId6"/>
  </sheets>
  <externalReferences>
    <externalReference r:id="rId7"/>
  </externalReferences>
  <definedNames>
    <definedName name="Каркас" localSheetId="1">'Спецификация клиенту'!$I$1:$I$4</definedName>
    <definedName name="Каркас">'[1]Спецификация клиенту'!$I$1:$I$21</definedName>
    <definedName name="_xlnm.Print_Area" localSheetId="1">'Спецификация клиенту'!$A$1:$G$74</definedName>
    <definedName name="Фасад" localSheetId="1">'Спецификация клиенту'!$J$1:$J$4</definedName>
    <definedName name="Фасад">'[1]Спецификация клиенту'!$J$1:$J$18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9" l="1"/>
  <c r="D30" i="9"/>
  <c r="S25" i="9"/>
  <c r="N25" i="9"/>
  <c r="I25" i="9"/>
  <c r="D25" i="9"/>
  <c r="S24" i="9"/>
  <c r="N24" i="9"/>
  <c r="I24" i="9"/>
  <c r="D24" i="9"/>
  <c r="S23" i="9"/>
  <c r="N23" i="9"/>
  <c r="I23" i="9"/>
  <c r="D23" i="9"/>
  <c r="S22" i="9"/>
  <c r="N22" i="9"/>
  <c r="I22" i="9"/>
  <c r="D22" i="9"/>
  <c r="S21" i="9"/>
  <c r="N21" i="9"/>
  <c r="I21" i="9"/>
  <c r="D21" i="9"/>
  <c r="S20" i="9"/>
  <c r="N20" i="9"/>
  <c r="I20" i="9"/>
  <c r="D20" i="9"/>
  <c r="S19" i="9"/>
  <c r="N19" i="9"/>
  <c r="I19" i="9"/>
  <c r="D19" i="9"/>
  <c r="S18" i="9"/>
  <c r="N18" i="9"/>
  <c r="I18" i="9"/>
  <c r="D18" i="9"/>
  <c r="S17" i="9"/>
  <c r="N17" i="9"/>
  <c r="I17" i="9"/>
  <c r="D17" i="9"/>
  <c r="S16" i="9"/>
  <c r="N16" i="9"/>
  <c r="I16" i="9"/>
  <c r="D16" i="9"/>
  <c r="S15" i="9"/>
  <c r="N15" i="9"/>
  <c r="I15" i="9"/>
  <c r="D15" i="9"/>
  <c r="S14" i="9"/>
  <c r="N14" i="9"/>
  <c r="I14" i="9"/>
  <c r="D14" i="9"/>
  <c r="S13" i="9"/>
  <c r="N13" i="9"/>
  <c r="I13" i="9"/>
  <c r="D13" i="9"/>
  <c r="S12" i="9"/>
  <c r="N12" i="9"/>
  <c r="I12" i="9"/>
  <c r="D12" i="9"/>
  <c r="S11" i="9"/>
  <c r="N11" i="9"/>
  <c r="I11" i="9"/>
  <c r="D11" i="9"/>
  <c r="S10" i="9"/>
  <c r="N10" i="9"/>
  <c r="I10" i="9"/>
  <c r="D10" i="9"/>
  <c r="S9" i="9"/>
  <c r="N9" i="9"/>
  <c r="I9" i="9"/>
  <c r="D9" i="9"/>
  <c r="S8" i="9"/>
  <c r="N8" i="9"/>
  <c r="I8" i="9"/>
  <c r="D8" i="9"/>
  <c r="S7" i="9"/>
  <c r="N7" i="9"/>
  <c r="I7" i="9"/>
  <c r="D7" i="9"/>
  <c r="S6" i="9"/>
  <c r="N6" i="9"/>
  <c r="I6" i="9"/>
  <c r="D6" i="9"/>
  <c r="S5" i="9"/>
  <c r="S27" i="9" s="1"/>
  <c r="S28" i="9" s="1"/>
  <c r="N5" i="9"/>
  <c r="N27" i="9" s="1"/>
  <c r="N28" i="9" s="1"/>
  <c r="I5" i="9"/>
  <c r="D5" i="9"/>
  <c r="D27" i="9" l="1"/>
  <c r="D28" i="9" s="1"/>
  <c r="I27" i="9"/>
  <c r="I28" i="9" s="1"/>
  <c r="D34" i="9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J39" i="8" l="1"/>
  <c r="I39" i="8"/>
  <c r="D31" i="7"/>
  <c r="D30" i="7"/>
  <c r="S25" i="7"/>
  <c r="N25" i="7"/>
  <c r="I25" i="7"/>
  <c r="D25" i="7"/>
  <c r="S24" i="7"/>
  <c r="N24" i="7"/>
  <c r="I24" i="7"/>
  <c r="D24" i="7"/>
  <c r="S23" i="7"/>
  <c r="N23" i="7"/>
  <c r="I23" i="7"/>
  <c r="D23" i="7"/>
  <c r="S22" i="7"/>
  <c r="N22" i="7"/>
  <c r="I22" i="7"/>
  <c r="D22" i="7"/>
  <c r="S21" i="7"/>
  <c r="N21" i="7"/>
  <c r="I21" i="7"/>
  <c r="D21" i="7"/>
  <c r="S20" i="7"/>
  <c r="N20" i="7"/>
  <c r="I20" i="7"/>
  <c r="D20" i="7"/>
  <c r="S19" i="7"/>
  <c r="N19" i="7"/>
  <c r="I19" i="7"/>
  <c r="D19" i="7"/>
  <c r="S18" i="7"/>
  <c r="N18" i="7"/>
  <c r="I18" i="7"/>
  <c r="D18" i="7"/>
  <c r="S17" i="7"/>
  <c r="N17" i="7"/>
  <c r="I17" i="7"/>
  <c r="D17" i="7"/>
  <c r="S16" i="7"/>
  <c r="N16" i="7"/>
  <c r="I16" i="7"/>
  <c r="D16" i="7"/>
  <c r="S15" i="7"/>
  <c r="N15" i="7"/>
  <c r="I15" i="7"/>
  <c r="D15" i="7"/>
  <c r="S14" i="7"/>
  <c r="N14" i="7"/>
  <c r="I14" i="7"/>
  <c r="D14" i="7"/>
  <c r="S13" i="7"/>
  <c r="N13" i="7"/>
  <c r="I13" i="7"/>
  <c r="D13" i="7"/>
  <c r="S12" i="7"/>
  <c r="N12" i="7"/>
  <c r="I12" i="7"/>
  <c r="D12" i="7"/>
  <c r="S11" i="7"/>
  <c r="N11" i="7"/>
  <c r="I11" i="7"/>
  <c r="D11" i="7"/>
  <c r="S10" i="7"/>
  <c r="N10" i="7"/>
  <c r="I10" i="7"/>
  <c r="D10" i="7"/>
  <c r="S9" i="7"/>
  <c r="N9" i="7"/>
  <c r="I9" i="7"/>
  <c r="D9" i="7"/>
  <c r="S8" i="7"/>
  <c r="N8" i="7"/>
  <c r="I8" i="7"/>
  <c r="D8" i="7"/>
  <c r="S7" i="7"/>
  <c r="N7" i="7"/>
  <c r="I7" i="7"/>
  <c r="D7" i="7"/>
  <c r="S6" i="7"/>
  <c r="N6" i="7"/>
  <c r="I6" i="7"/>
  <c r="D6" i="7"/>
  <c r="S5" i="7"/>
  <c r="N5" i="7"/>
  <c r="I5" i="7"/>
  <c r="I27" i="7" s="1"/>
  <c r="I28" i="7" s="1"/>
  <c r="D5" i="7"/>
  <c r="N27" i="7" l="1"/>
  <c r="N28" i="7" s="1"/>
  <c r="S27" i="7"/>
  <c r="S28" i="7" s="1"/>
  <c r="D27" i="7"/>
  <c r="D28" i="7" s="1"/>
  <c r="I38" i="6"/>
  <c r="J38" i="6" s="1"/>
  <c r="I37" i="6"/>
  <c r="J37" i="6" s="1"/>
  <c r="I36" i="6"/>
  <c r="J36" i="6" s="1"/>
  <c r="I35" i="6"/>
  <c r="J35" i="6" s="1"/>
  <c r="I34" i="6"/>
  <c r="J34" i="6" s="1"/>
  <c r="I33" i="6"/>
  <c r="J33" i="6" s="1"/>
  <c r="I32" i="6"/>
  <c r="J32" i="6" s="1"/>
  <c r="I31" i="6"/>
  <c r="J31" i="6" s="1"/>
  <c r="I30" i="6"/>
  <c r="J30" i="6" s="1"/>
  <c r="I29" i="6"/>
  <c r="J29" i="6" s="1"/>
  <c r="I28" i="6"/>
  <c r="J28" i="6" s="1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D34" i="7" l="1"/>
  <c r="J39" i="6"/>
  <c r="I39" i="6"/>
  <c r="G66" i="4" l="1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33" i="4" l="1"/>
  <c r="T33" i="4" s="1"/>
  <c r="G67" i="4"/>
  <c r="T67" i="4" s="1"/>
  <c r="G69" i="4" l="1"/>
  <c r="G71" i="4" s="1"/>
</calcChain>
</file>

<file path=xl/sharedStrings.xml><?xml version="1.0" encoding="utf-8"?>
<sst xmlns="http://schemas.openxmlformats.org/spreadsheetml/2006/main" count="202" uniqueCount="105">
  <si>
    <t>№ заказа</t>
  </si>
  <si>
    <t>Менеджер</t>
  </si>
  <si>
    <t>Дата запуска</t>
  </si>
  <si>
    <t>Дата отгрузки</t>
  </si>
  <si>
    <t>Цвет корпуса</t>
  </si>
  <si>
    <t>Кромка корпуса</t>
  </si>
  <si>
    <t>Задняя стенка</t>
  </si>
  <si>
    <t>Фасады</t>
  </si>
  <si>
    <t>Корпус</t>
  </si>
  <si>
    <t>Дополнительная комплектация</t>
  </si>
  <si>
    <t>Вид направляющих</t>
  </si>
  <si>
    <t>Жесткая упаковка</t>
  </si>
  <si>
    <t>Спецификация к договору №:</t>
  </si>
  <si>
    <t>орех гварнери</t>
  </si>
  <si>
    <t>МДФ ПВХ с патиной</t>
  </si>
  <si>
    <t>Дата плановой отгрузки:</t>
  </si>
  <si>
    <t>дуб рустик</t>
  </si>
  <si>
    <t>МДФ ПВХ с патиной лайт</t>
  </si>
  <si>
    <t>ноче эко</t>
  </si>
  <si>
    <t>МДФ ПВХ тип 1 (PREMIUM)</t>
  </si>
  <si>
    <t>дуб выбеленный</t>
  </si>
  <si>
    <t>МДФ ПВХ тип 2 (PREMIUM)</t>
  </si>
  <si>
    <t>№ п/п</t>
  </si>
  <si>
    <t xml:space="preserve"> Наименование элементов гарнитура</t>
  </si>
  <si>
    <t>Кол-во</t>
  </si>
  <si>
    <t>Цена</t>
  </si>
  <si>
    <t>Коэф-т</t>
  </si>
  <si>
    <t>Примечание</t>
  </si>
  <si>
    <t xml:space="preserve">Сумма </t>
  </si>
  <si>
    <t>Всего</t>
  </si>
  <si>
    <t>Сумма</t>
  </si>
  <si>
    <t>Итого</t>
  </si>
  <si>
    <t>Скидка</t>
  </si>
  <si>
    <t>Комплектация разъяснена, заказ утверждаю______________________________ дата ______________</t>
  </si>
  <si>
    <t>Ручка мебельная/сверловка</t>
  </si>
  <si>
    <t>Прочее</t>
  </si>
  <si>
    <t>Технолог</t>
  </si>
  <si>
    <t>Кромка фасадов</t>
  </si>
  <si>
    <t>Размер проема (В*Ш)</t>
  </si>
  <si>
    <t>Тип фасадов</t>
  </si>
  <si>
    <t>Фрезеровка</t>
  </si>
  <si>
    <t xml:space="preserve">Дата запуска: </t>
  </si>
  <si>
    <t>Цвет</t>
  </si>
  <si>
    <t>Дата отгрузки:</t>
  </si>
  <si>
    <t>№ заказа:</t>
  </si>
  <si>
    <t>№</t>
  </si>
  <si>
    <t xml:space="preserve">сверловка </t>
  </si>
  <si>
    <t>Высота (Y) мм</t>
  </si>
  <si>
    <t>Ширина (X) мм</t>
  </si>
  <si>
    <t>Кол.</t>
  </si>
  <si>
    <t>Коэф. нест.</t>
  </si>
  <si>
    <t>Тип фасада</t>
  </si>
  <si>
    <t>ЦЕНА</t>
  </si>
  <si>
    <t>S фасада</t>
  </si>
  <si>
    <t xml:space="preserve">Дополнительная комплектация </t>
  </si>
  <si>
    <t xml:space="preserve">Общая сумма </t>
  </si>
  <si>
    <t>Принят</t>
  </si>
  <si>
    <t>Дата___/___/_______</t>
  </si>
  <si>
    <t>для  дверей купе 
(при встройках)</t>
  </si>
  <si>
    <t>цена кв.метр</t>
  </si>
  <si>
    <t>коэф.</t>
  </si>
  <si>
    <t>ЛДСП база в ПВХ 0,4мм</t>
  </si>
  <si>
    <t>ЛДСП база в ПВХ 2мм</t>
  </si>
  <si>
    <t>ХДФ</t>
  </si>
  <si>
    <t xml:space="preserve">Фасад </t>
  </si>
  <si>
    <t>длина</t>
  </si>
  <si>
    <t>шир</t>
  </si>
  <si>
    <t>кол</t>
  </si>
  <si>
    <t>площ</t>
  </si>
  <si>
    <t>кв.метров</t>
  </si>
  <si>
    <t>сумма</t>
  </si>
  <si>
    <t>Высота цоколя мм (h 60,80,100)</t>
  </si>
  <si>
    <t>Размер корпуса (ВШГ) c h цоколя</t>
  </si>
  <si>
    <t>Столешница</t>
  </si>
  <si>
    <t>Размер столешницы</t>
  </si>
  <si>
    <t>Цвет столешницы</t>
  </si>
  <si>
    <t>Название системы/форма ручки/
цвет профиля</t>
  </si>
  <si>
    <t>Зеркало/стекло/оракал</t>
  </si>
  <si>
    <t>Еврокромка/фацет</t>
  </si>
  <si>
    <t>Наклейка зеркала/стекла</t>
  </si>
  <si>
    <t xml:space="preserve">Петли </t>
  </si>
  <si>
    <t>Сетка/крепеж сетки/корзины</t>
  </si>
  <si>
    <t>Навесы/Шина</t>
  </si>
  <si>
    <t>2024 год</t>
  </si>
  <si>
    <t>Флянец/держатель/соеденитель</t>
  </si>
  <si>
    <t>Ноги/подпятники</t>
  </si>
  <si>
    <t>Крючки</t>
  </si>
  <si>
    <t xml:space="preserve">Кромка столешницы </t>
  </si>
  <si>
    <t>Наименование</t>
  </si>
  <si>
    <t>Остатки столешницы</t>
  </si>
  <si>
    <t>Туба: 25мм,  овальная</t>
  </si>
  <si>
    <t>Дополнительное  ЛДСП (ВШГ)</t>
  </si>
  <si>
    <t>Вид /Цвет/фрезеровка /текстура</t>
  </si>
  <si>
    <t>Багет/пилястры/фп (фф)</t>
  </si>
  <si>
    <t>Крепеж полок</t>
  </si>
  <si>
    <t>460*750*500 - 1 шт.
2540*750*500 - 1 шт.
836*940*560 - 1 шт.</t>
  </si>
  <si>
    <t>Царга h100</t>
  </si>
  <si>
    <t>U1147 Дуб табачнынй</t>
  </si>
  <si>
    <t>0,4мм 1147 Дуб табачнынй</t>
  </si>
  <si>
    <t>ЛДСП/ХДФ</t>
  </si>
  <si>
    <t>МДФ(ПВХ)/Адилет SF022 Саньтяго/мыло.</t>
  </si>
  <si>
    <t>16*940*600</t>
  </si>
  <si>
    <t xml:space="preserve">Titus с дов 110 4 шт.
</t>
  </si>
  <si>
    <t>трубы 25 мм 2 шт.</t>
  </si>
  <si>
    <t>флянец 25мм 4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</si>
</sst>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#,##0_ ;\-#,##0\ "/>
    <numFmt numFmtId="166" formatCode="0.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4"/>
      <name val="Arial"/>
      <family val="2"/>
      <charset val="204"/>
    </font>
    <font>
      <b/>
      <i/>
      <sz val="14"/>
      <name val="Arial Cyr"/>
      <charset val="204"/>
    </font>
    <font>
      <b/>
      <i/>
      <sz val="10"/>
      <name val="Arial Cyr"/>
      <charset val="204"/>
    </font>
    <font>
      <b/>
      <sz val="10"/>
      <name val="Arial"/>
      <family val="2"/>
      <charset val="204"/>
    </font>
    <font>
      <b/>
      <sz val="12"/>
      <name val="Arial Cyr"/>
      <charset val="204"/>
    </font>
    <font>
      <sz val="11"/>
      <name val="Arial Cyr"/>
      <charset val="204"/>
    </font>
    <font>
      <b/>
      <sz val="10"/>
      <name val="Arial Cyr"/>
      <charset val="204"/>
    </font>
    <font>
      <sz val="12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8"/>
      <color theme="4" tint="0.3999755851924192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u/>
      <sz val="18"/>
      <name val="a_BodoniNova"/>
      <charset val="204"/>
    </font>
    <font>
      <b/>
      <sz val="20"/>
      <name val="Arial Cyr"/>
      <charset val="204"/>
    </font>
    <font>
      <sz val="10"/>
      <name val="a_AntiqueTradyBrk"/>
      <family val="1"/>
      <charset val="204"/>
    </font>
    <font>
      <sz val="10"/>
      <name val="Arial Black"/>
      <family val="2"/>
      <charset val="204"/>
    </font>
    <font>
      <b/>
      <sz val="10"/>
      <name val="Arial Black"/>
      <family val="2"/>
      <charset val="204"/>
    </font>
    <font>
      <sz val="10"/>
      <name val="a_AntiqueTradyNr"/>
      <family val="1"/>
      <charset val="204"/>
    </font>
    <font>
      <b/>
      <u/>
      <sz val="12"/>
      <name val="a_AntiqueTrady"/>
      <family val="1"/>
      <charset val="204"/>
    </font>
    <font>
      <b/>
      <sz val="16"/>
      <name val="Arial Cyr"/>
      <charset val="204"/>
    </font>
    <font>
      <sz val="12"/>
      <name val="a_AntiqueTrady"/>
      <family val="1"/>
      <charset val="204"/>
    </font>
    <font>
      <sz val="9"/>
      <name val="Arial Cyr"/>
      <charset val="204"/>
    </font>
    <font>
      <sz val="10"/>
      <color theme="1"/>
      <name val="Arial Black"/>
      <family val="2"/>
      <charset val="204"/>
    </font>
    <font>
      <sz val="8"/>
      <name val="Arial Black"/>
      <family val="2"/>
      <charset val="204"/>
    </font>
    <font>
      <b/>
      <sz val="11"/>
      <name val="Arial Black"/>
      <family val="2"/>
      <charset val="204"/>
    </font>
    <font>
      <sz val="9"/>
      <name val="Arial Black"/>
      <family val="2"/>
      <charset val="204"/>
    </font>
    <font>
      <b/>
      <sz val="10"/>
      <color indexed="12"/>
      <name val="Arial Black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14" fillId="0" borderId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" fillId="0" borderId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0" borderId="0" xfId="1"/>
    <xf numFmtId="49" fontId="8" fillId="0" borderId="6" xfId="1" applyNumberFormat="1" applyFont="1" applyBorder="1" applyAlignment="1">
      <alignment horizontal="left"/>
    </xf>
    <xf numFmtId="0" fontId="5" fillId="0" borderId="12" xfId="1" applyBorder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1" fillId="0" borderId="6" xfId="1" applyFont="1" applyBorder="1"/>
    <xf numFmtId="165" fontId="11" fillId="0" borderId="6" xfId="1" applyNumberFormat="1" applyFont="1" applyBorder="1"/>
    <xf numFmtId="0" fontId="11" fillId="0" borderId="0" xfId="1" applyFont="1"/>
    <xf numFmtId="0" fontId="11" fillId="0" borderId="13" xfId="1" applyFont="1" applyBorder="1"/>
    <xf numFmtId="165" fontId="11" fillId="0" borderId="13" xfId="1" applyNumberFormat="1" applyFont="1" applyBorder="1"/>
    <xf numFmtId="165" fontId="11" fillId="0" borderId="0" xfId="1" applyNumberFormat="1" applyFont="1"/>
    <xf numFmtId="0" fontId="11" fillId="0" borderId="0" xfId="1" applyFont="1" applyBorder="1"/>
    <xf numFmtId="0" fontId="11" fillId="2" borderId="0" xfId="1" applyFont="1" applyFill="1" applyBorder="1"/>
    <xf numFmtId="0" fontId="11" fillId="0" borderId="9" xfId="1" applyFont="1" applyBorder="1"/>
    <xf numFmtId="165" fontId="11" fillId="0" borderId="9" xfId="1" applyNumberFormat="1" applyFont="1" applyBorder="1"/>
    <xf numFmtId="0" fontId="11" fillId="0" borderId="14" xfId="1" applyFont="1" applyBorder="1"/>
    <xf numFmtId="0" fontId="11" fillId="0" borderId="6" xfId="1" applyFont="1" applyBorder="1" applyAlignment="1">
      <alignment wrapText="1"/>
    </xf>
    <xf numFmtId="0" fontId="11" fillId="0" borderId="10" xfId="1" applyFont="1" applyBorder="1"/>
    <xf numFmtId="0" fontId="13" fillId="0" borderId="0" xfId="1" applyFont="1"/>
    <xf numFmtId="165" fontId="13" fillId="0" borderId="0" xfId="1" applyNumberFormat="1" applyFont="1"/>
    <xf numFmtId="0" fontId="13" fillId="2" borderId="0" xfId="1" applyFont="1" applyFill="1" applyBorder="1"/>
    <xf numFmtId="0" fontId="13" fillId="0" borderId="15" xfId="1" applyFont="1" applyBorder="1"/>
    <xf numFmtId="0" fontId="13" fillId="0" borderId="3" xfId="1" applyFont="1" applyBorder="1"/>
    <xf numFmtId="165" fontId="5" fillId="0" borderId="0" xfId="1" applyNumberFormat="1"/>
    <xf numFmtId="0" fontId="11" fillId="0" borderId="6" xfId="1" applyFont="1" applyFill="1" applyBorder="1"/>
    <xf numFmtId="165" fontId="11" fillId="0" borderId="6" xfId="1" applyNumberFormat="1" applyFont="1" applyFill="1" applyBorder="1"/>
    <xf numFmtId="0" fontId="11" fillId="0" borderId="0" xfId="1" applyFont="1" applyFill="1"/>
    <xf numFmtId="0" fontId="5" fillId="0" borderId="0" xfId="1" applyFont="1" applyFill="1"/>
    <xf numFmtId="0" fontId="5" fillId="0" borderId="0" xfId="1" applyFill="1"/>
    <xf numFmtId="0" fontId="13" fillId="0" borderId="0" xfId="1" applyFont="1" applyFill="1"/>
    <xf numFmtId="165" fontId="13" fillId="0" borderId="0" xfId="1" applyNumberFormat="1" applyFont="1" applyFill="1"/>
    <xf numFmtId="0" fontId="13" fillId="0" borderId="15" xfId="1" applyFont="1" applyFill="1" applyBorder="1"/>
    <xf numFmtId="0" fontId="13" fillId="0" borderId="3" xfId="1" applyFont="1" applyFill="1" applyBorder="1"/>
    <xf numFmtId="14" fontId="3" fillId="0" borderId="1" xfId="0" applyNumberFormat="1" applyFont="1" applyBorder="1" applyAlignment="1">
      <alignment horizontal="center" vertical="center"/>
    </xf>
    <xf numFmtId="0" fontId="9" fillId="3" borderId="6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left"/>
    </xf>
    <xf numFmtId="0" fontId="9" fillId="3" borderId="6" xfId="1" applyFont="1" applyFill="1" applyBorder="1"/>
    <xf numFmtId="0" fontId="11" fillId="3" borderId="1" xfId="1" applyFont="1" applyFill="1" applyBorder="1"/>
    <xf numFmtId="0" fontId="12" fillId="3" borderId="1" xfId="1" applyFont="1" applyFill="1" applyBorder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3" fillId="3" borderId="1" xfId="1" applyFont="1" applyFill="1" applyBorder="1"/>
    <xf numFmtId="0" fontId="13" fillId="3" borderId="15" xfId="1" applyFont="1" applyFill="1" applyBorder="1"/>
    <xf numFmtId="0" fontId="13" fillId="3" borderId="3" xfId="1" applyFont="1" applyFill="1" applyBorder="1"/>
    <xf numFmtId="0" fontId="19" fillId="0" borderId="0" xfId="1" applyFont="1" applyBorder="1" applyAlignment="1">
      <alignment horizontal="center" vertical="distributed"/>
    </xf>
    <xf numFmtId="0" fontId="21" fillId="0" borderId="0" xfId="1" applyFont="1"/>
    <xf numFmtId="0" fontId="24" fillId="0" borderId="0" xfId="1" applyFont="1"/>
    <xf numFmtId="0" fontId="5" fillId="0" borderId="0" xfId="1" applyBorder="1"/>
    <xf numFmtId="0" fontId="26" fillId="0" borderId="0" xfId="1" applyFont="1"/>
    <xf numFmtId="0" fontId="26" fillId="0" borderId="0" xfId="1" applyFont="1" applyBorder="1"/>
    <xf numFmtId="0" fontId="5" fillId="0" borderId="15" xfId="1" applyBorder="1" applyAlignment="1">
      <alignment horizontal="center" vertical="distributed"/>
    </xf>
    <xf numFmtId="0" fontId="5" fillId="0" borderId="27" xfId="1" applyBorder="1" applyAlignment="1">
      <alignment horizontal="center" vertical="distributed"/>
    </xf>
    <xf numFmtId="0" fontId="27" fillId="0" borderId="28" xfId="1" applyFont="1" applyBorder="1" applyAlignment="1">
      <alignment horizontal="center" vertical="distributed"/>
    </xf>
    <xf numFmtId="0" fontId="5" fillId="0" borderId="28" xfId="1" applyBorder="1" applyAlignment="1">
      <alignment horizontal="center" vertical="distributed"/>
    </xf>
    <xf numFmtId="0" fontId="5" fillId="0" borderId="29" xfId="1" applyBorder="1" applyAlignment="1">
      <alignment horizontal="center" vertical="distributed"/>
    </xf>
    <xf numFmtId="0" fontId="5" fillId="0" borderId="30" xfId="1" applyBorder="1" applyAlignment="1">
      <alignment horizontal="center" vertical="distributed"/>
    </xf>
    <xf numFmtId="0" fontId="21" fillId="5" borderId="22" xfId="1" applyFont="1" applyFill="1" applyBorder="1" applyAlignment="1"/>
    <xf numFmtId="0" fontId="21" fillId="5" borderId="23" xfId="1" applyFont="1" applyFill="1" applyBorder="1" applyAlignment="1">
      <alignment horizontal="left"/>
    </xf>
    <xf numFmtId="0" fontId="28" fillId="0" borderId="23" xfId="1" applyFont="1" applyBorder="1" applyAlignment="1"/>
    <xf numFmtId="0" fontId="21" fillId="5" borderId="23" xfId="1" applyFont="1" applyFill="1" applyBorder="1" applyAlignment="1" applyProtection="1">
      <alignment horizontal="center"/>
      <protection locked="0"/>
    </xf>
    <xf numFmtId="0" fontId="22" fillId="5" borderId="31" xfId="1" applyFont="1" applyFill="1" applyBorder="1" applyAlignment="1" applyProtection="1">
      <alignment horizontal="center"/>
      <protection locked="0"/>
    </xf>
    <xf numFmtId="166" fontId="22" fillId="5" borderId="31" xfId="1" applyNumberFormat="1" applyFont="1" applyFill="1" applyBorder="1" applyProtection="1">
      <protection hidden="1"/>
    </xf>
    <xf numFmtId="1" fontId="22" fillId="5" borderId="32" xfId="1" applyNumberFormat="1" applyFont="1" applyFill="1" applyBorder="1" applyProtection="1">
      <protection hidden="1"/>
    </xf>
    <xf numFmtId="0" fontId="21" fillId="5" borderId="18" xfId="1" applyFont="1" applyFill="1" applyBorder="1" applyAlignment="1"/>
    <xf numFmtId="0" fontId="21" fillId="5" borderId="6" xfId="1" applyFont="1" applyFill="1" applyBorder="1" applyAlignment="1">
      <alignment horizontal="left"/>
    </xf>
    <xf numFmtId="0" fontId="28" fillId="0" borderId="6" xfId="1" applyFont="1" applyBorder="1" applyAlignment="1"/>
    <xf numFmtId="0" fontId="21" fillId="5" borderId="6" xfId="1" applyFont="1" applyFill="1" applyBorder="1" applyAlignment="1" applyProtection="1">
      <alignment horizontal="center"/>
      <protection locked="0"/>
    </xf>
    <xf numFmtId="0" fontId="22" fillId="5" borderId="21" xfId="1" applyFont="1" applyFill="1" applyBorder="1" applyAlignment="1" applyProtection="1">
      <alignment horizontal="center"/>
      <protection locked="0"/>
    </xf>
    <xf numFmtId="166" fontId="22" fillId="5" borderId="21" xfId="1" applyNumberFormat="1" applyFont="1" applyFill="1" applyBorder="1" applyProtection="1">
      <protection hidden="1"/>
    </xf>
    <xf numFmtId="1" fontId="22" fillId="5" borderId="33" xfId="1" applyNumberFormat="1" applyFont="1" applyFill="1" applyBorder="1" applyProtection="1">
      <protection hidden="1"/>
    </xf>
    <xf numFmtId="0" fontId="21" fillId="2" borderId="18" xfId="1" applyFont="1" applyFill="1" applyBorder="1" applyAlignment="1"/>
    <xf numFmtId="0" fontId="21" fillId="2" borderId="6" xfId="1" applyFont="1" applyFill="1" applyBorder="1" applyAlignment="1">
      <alignment horizontal="left"/>
    </xf>
    <xf numFmtId="0" fontId="21" fillId="2" borderId="6" xfId="1" applyFont="1" applyFill="1" applyBorder="1" applyAlignment="1" applyProtection="1">
      <alignment horizontal="center"/>
      <protection locked="0"/>
    </xf>
    <xf numFmtId="166" fontId="22" fillId="2" borderId="21" xfId="1" applyNumberFormat="1" applyFont="1" applyFill="1" applyBorder="1" applyProtection="1">
      <protection hidden="1"/>
    </xf>
    <xf numFmtId="1" fontId="22" fillId="2" borderId="33" xfId="1" applyNumberFormat="1" applyFont="1" applyFill="1" applyBorder="1" applyProtection="1">
      <protection hidden="1"/>
    </xf>
    <xf numFmtId="0" fontId="21" fillId="2" borderId="0" xfId="1" applyFont="1" applyFill="1"/>
    <xf numFmtId="0" fontId="21" fillId="0" borderId="6" xfId="1" applyFont="1" applyBorder="1" applyAlignment="1"/>
    <xf numFmtId="0" fontId="28" fillId="0" borderId="6" xfId="1" applyFont="1" applyBorder="1" applyAlignment="1">
      <alignment horizontal="right"/>
    </xf>
    <xf numFmtId="0" fontId="22" fillId="5" borderId="12" xfId="1" applyFont="1" applyFill="1" applyBorder="1" applyAlignment="1" applyProtection="1">
      <alignment horizontal="right"/>
      <protection locked="0"/>
    </xf>
    <xf numFmtId="0" fontId="22" fillId="5" borderId="6" xfId="1" applyFont="1" applyFill="1" applyBorder="1" applyAlignment="1" applyProtection="1">
      <alignment horizontal="right"/>
      <protection locked="0"/>
    </xf>
    <xf numFmtId="0" fontId="22" fillId="5" borderId="19" xfId="1" applyFont="1" applyFill="1" applyBorder="1" applyAlignment="1" applyProtection="1">
      <alignment horizontal="right"/>
      <protection locked="0"/>
    </xf>
    <xf numFmtId="0" fontId="21" fillId="0" borderId="6" xfId="1" applyFont="1" applyBorder="1"/>
    <xf numFmtId="0" fontId="21" fillId="5" borderId="25" xfId="1" applyFont="1" applyFill="1" applyBorder="1" applyAlignment="1">
      <alignment horizontal="center"/>
    </xf>
    <xf numFmtId="0" fontId="21" fillId="5" borderId="13" xfId="1" applyFont="1" applyFill="1" applyBorder="1" applyAlignment="1">
      <alignment horizontal="center"/>
    </xf>
    <xf numFmtId="0" fontId="22" fillId="5" borderId="13" xfId="1" applyFont="1" applyFill="1" applyBorder="1" applyAlignment="1" applyProtection="1">
      <alignment horizontal="center"/>
      <protection locked="0"/>
    </xf>
    <xf numFmtId="0" fontId="29" fillId="5" borderId="13" xfId="1" applyFont="1" applyFill="1" applyBorder="1" applyAlignment="1" applyProtection="1">
      <alignment horizontal="center"/>
      <protection locked="0"/>
    </xf>
    <xf numFmtId="166" fontId="22" fillId="5" borderId="13" xfId="1" applyNumberFormat="1" applyFont="1" applyFill="1" applyBorder="1" applyAlignment="1" applyProtection="1">
      <alignment horizontal="center"/>
      <protection locked="0"/>
    </xf>
    <xf numFmtId="1" fontId="21" fillId="5" borderId="34" xfId="1" applyNumberFormat="1" applyFont="1" applyFill="1" applyBorder="1" applyProtection="1">
      <protection hidden="1"/>
    </xf>
    <xf numFmtId="0" fontId="21" fillId="5" borderId="22" xfId="1" applyFont="1" applyFill="1" applyBorder="1" applyAlignment="1">
      <alignment horizontal="center"/>
    </xf>
    <xf numFmtId="0" fontId="21" fillId="5" borderId="23" xfId="1" applyFont="1" applyFill="1" applyBorder="1" applyAlignment="1">
      <alignment horizontal="center"/>
    </xf>
    <xf numFmtId="0" fontId="22" fillId="5" borderId="23" xfId="1" applyFont="1" applyFill="1" applyBorder="1" applyAlignment="1" applyProtection="1">
      <alignment horizontal="center"/>
      <protection locked="0"/>
    </xf>
    <xf numFmtId="0" fontId="22" fillId="5" borderId="36" xfId="1" applyFont="1" applyFill="1" applyBorder="1" applyAlignment="1" applyProtection="1">
      <alignment horizontal="center"/>
      <protection locked="0"/>
    </xf>
    <xf numFmtId="0" fontId="29" fillId="5" borderId="23" xfId="1" applyFont="1" applyFill="1" applyBorder="1" applyAlignment="1" applyProtection="1">
      <alignment horizontal="center"/>
      <protection locked="0"/>
    </xf>
    <xf numFmtId="0" fontId="22" fillId="2" borderId="31" xfId="1" applyFont="1" applyFill="1" applyBorder="1" applyAlignment="1" applyProtection="1">
      <alignment horizontal="right" wrapText="1"/>
      <protection locked="0"/>
    </xf>
    <xf numFmtId="9" fontId="22" fillId="5" borderId="23" xfId="5" applyNumberFormat="1" applyFont="1" applyFill="1" applyBorder="1" applyAlignment="1" applyProtection="1">
      <alignment horizontal="center"/>
      <protection locked="0"/>
    </xf>
    <xf numFmtId="166" fontId="21" fillId="5" borderId="31" xfId="1" applyNumberFormat="1" applyFont="1" applyFill="1" applyBorder="1" applyProtection="1">
      <protection hidden="1"/>
    </xf>
    <xf numFmtId="1" fontId="21" fillId="5" borderId="32" xfId="1" applyNumberFormat="1" applyFont="1" applyFill="1" applyBorder="1" applyProtection="1">
      <protection hidden="1"/>
    </xf>
    <xf numFmtId="0" fontId="21" fillId="5" borderId="18" xfId="1" applyFont="1" applyFill="1" applyBorder="1" applyAlignment="1">
      <alignment horizontal="center"/>
    </xf>
    <xf numFmtId="0" fontId="21" fillId="5" borderId="6" xfId="1" applyFont="1" applyFill="1" applyBorder="1" applyAlignment="1">
      <alignment horizontal="center"/>
    </xf>
    <xf numFmtId="0" fontId="21" fillId="0" borderId="19" xfId="1" applyFont="1" applyBorder="1" applyAlignment="1"/>
    <xf numFmtId="0" fontId="29" fillId="5" borderId="9" xfId="1" applyFont="1" applyFill="1" applyBorder="1" applyAlignment="1" applyProtection="1">
      <alignment horizontal="center"/>
      <protection locked="0"/>
    </xf>
    <xf numFmtId="0" fontId="22" fillId="2" borderId="12" xfId="1" applyFont="1" applyFill="1" applyBorder="1" applyAlignment="1" applyProtection="1">
      <alignment horizontal="right" wrapText="1"/>
      <protection locked="0"/>
    </xf>
    <xf numFmtId="166" fontId="21" fillId="5" borderId="21" xfId="1" applyNumberFormat="1" applyFont="1" applyFill="1" applyBorder="1" applyProtection="1">
      <protection hidden="1"/>
    </xf>
    <xf numFmtId="1" fontId="21" fillId="5" borderId="33" xfId="1" applyNumberFormat="1" applyFont="1" applyFill="1" applyBorder="1" applyProtection="1">
      <protection hidden="1"/>
    </xf>
    <xf numFmtId="0" fontId="21" fillId="2" borderId="18" xfId="1" applyFont="1" applyFill="1" applyBorder="1" applyAlignment="1">
      <alignment horizontal="center"/>
    </xf>
    <xf numFmtId="0" fontId="21" fillId="2" borderId="6" xfId="1" applyFont="1" applyFill="1" applyBorder="1" applyAlignment="1">
      <alignment horizontal="center"/>
    </xf>
    <xf numFmtId="0" fontId="22" fillId="2" borderId="21" xfId="1" applyFont="1" applyFill="1" applyBorder="1" applyAlignment="1" applyProtection="1">
      <alignment horizontal="center"/>
      <protection locked="0"/>
    </xf>
    <xf numFmtId="0" fontId="22" fillId="2" borderId="9" xfId="1" applyFont="1" applyFill="1" applyBorder="1" applyAlignment="1" applyProtection="1">
      <alignment horizontal="center"/>
      <protection locked="0"/>
    </xf>
    <xf numFmtId="0" fontId="22" fillId="2" borderId="19" xfId="1" applyFont="1" applyFill="1" applyBorder="1" applyAlignment="1" applyProtection="1">
      <alignment horizontal="center"/>
      <protection locked="0"/>
    </xf>
    <xf numFmtId="0" fontId="29" fillId="2" borderId="9" xfId="1" applyFont="1" applyFill="1" applyBorder="1" applyAlignment="1" applyProtection="1">
      <alignment horizontal="center"/>
      <protection locked="0"/>
    </xf>
    <xf numFmtId="166" fontId="22" fillId="2" borderId="21" xfId="1" applyNumberFormat="1" applyFont="1" applyFill="1" applyBorder="1" applyAlignment="1" applyProtection="1">
      <alignment horizontal="center"/>
      <protection hidden="1"/>
    </xf>
    <xf numFmtId="1" fontId="21" fillId="2" borderId="33" xfId="1" applyNumberFormat="1" applyFont="1" applyFill="1" applyBorder="1" applyProtection="1">
      <protection hidden="1"/>
    </xf>
    <xf numFmtId="0" fontId="22" fillId="5" borderId="19" xfId="1" applyFont="1" applyFill="1" applyBorder="1" applyAlignment="1" applyProtection="1">
      <alignment horizontal="center"/>
      <protection locked="0"/>
    </xf>
    <xf numFmtId="0" fontId="22" fillId="5" borderId="37" xfId="1" applyFont="1" applyFill="1" applyBorder="1" applyAlignment="1" applyProtection="1">
      <alignment horizontal="center"/>
      <protection locked="0"/>
    </xf>
    <xf numFmtId="0" fontId="22" fillId="2" borderId="38" xfId="1" applyFont="1" applyFill="1" applyBorder="1" applyAlignment="1" applyProtection="1">
      <alignment horizontal="center"/>
      <protection locked="0"/>
    </xf>
    <xf numFmtId="0" fontId="22" fillId="5" borderId="39" xfId="1" applyFont="1" applyFill="1" applyBorder="1" applyAlignment="1" applyProtection="1">
      <alignment horizontal="center"/>
      <protection locked="0"/>
    </xf>
    <xf numFmtId="0" fontId="29" fillId="5" borderId="38" xfId="1" applyFont="1" applyFill="1" applyBorder="1" applyAlignment="1" applyProtection="1">
      <alignment horizontal="center"/>
      <protection locked="0"/>
    </xf>
    <xf numFmtId="0" fontId="22" fillId="5" borderId="37" xfId="1" applyFont="1" applyFill="1" applyBorder="1" applyAlignment="1" applyProtection="1">
      <alignment horizontal="right"/>
      <protection locked="0"/>
    </xf>
    <xf numFmtId="166" fontId="21" fillId="5" borderId="37" xfId="1" applyNumberFormat="1" applyFont="1" applyFill="1" applyBorder="1" applyProtection="1">
      <protection hidden="1"/>
    </xf>
    <xf numFmtId="0" fontId="21" fillId="5" borderId="16" xfId="1" applyFont="1" applyFill="1" applyBorder="1" applyAlignment="1">
      <alignment horizontal="center"/>
    </xf>
    <xf numFmtId="0" fontId="31" fillId="0" borderId="9" xfId="1" applyFont="1" applyBorder="1" applyAlignment="1"/>
    <xf numFmtId="0" fontId="31" fillId="0" borderId="21" xfId="1" applyFont="1" applyBorder="1" applyAlignment="1"/>
    <xf numFmtId="0" fontId="22" fillId="5" borderId="20" xfId="1" applyFont="1" applyFill="1" applyBorder="1" applyAlignment="1" applyProtection="1">
      <alignment horizontal="center"/>
      <protection locked="0"/>
    </xf>
    <xf numFmtId="0" fontId="32" fillId="5" borderId="14" xfId="1" applyFont="1" applyFill="1" applyBorder="1" applyAlignment="1" applyProtection="1">
      <alignment horizontal="right"/>
      <protection locked="0"/>
    </xf>
    <xf numFmtId="0" fontId="22" fillId="5" borderId="40" xfId="1" applyFont="1" applyFill="1" applyBorder="1" applyAlignment="1" applyProtection="1">
      <alignment horizontal="center"/>
      <protection locked="0"/>
    </xf>
    <xf numFmtId="0" fontId="32" fillId="5" borderId="35" xfId="1" applyFont="1" applyFill="1" applyBorder="1" applyAlignment="1" applyProtection="1">
      <alignment horizontal="center"/>
      <protection locked="0"/>
    </xf>
    <xf numFmtId="1" fontId="21" fillId="0" borderId="9" xfId="1" applyNumberFormat="1" applyFont="1" applyBorder="1"/>
    <xf numFmtId="1" fontId="12" fillId="4" borderId="9" xfId="1" applyNumberFormat="1" applyFont="1" applyFill="1" applyBorder="1" applyProtection="1">
      <protection hidden="1"/>
    </xf>
    <xf numFmtId="0" fontId="8" fillId="0" borderId="0" xfId="1" applyFont="1" applyFill="1" applyBorder="1" applyAlignment="1">
      <alignment horizontal="center" vertical="distributed"/>
    </xf>
    <xf numFmtId="0" fontId="5" fillId="2" borderId="0" xfId="1" applyFill="1"/>
    <xf numFmtId="14" fontId="12" fillId="2" borderId="0" xfId="1" applyNumberFormat="1" applyFont="1" applyFill="1"/>
    <xf numFmtId="14" fontId="5" fillId="0" borderId="0" xfId="1" applyNumberFormat="1"/>
    <xf numFmtId="0" fontId="1" fillId="6" borderId="2" xfId="6" applyFill="1" applyBorder="1"/>
    <xf numFmtId="0" fontId="1" fillId="6" borderId="11" xfId="6" applyFill="1" applyBorder="1"/>
    <xf numFmtId="0" fontId="1" fillId="6" borderId="3" xfId="6" applyFill="1" applyBorder="1"/>
    <xf numFmtId="0" fontId="1" fillId="0" borderId="1" xfId="6" applyBorder="1"/>
    <xf numFmtId="0" fontId="1" fillId="0" borderId="0" xfId="6"/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0" fontId="4" fillId="2" borderId="22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4" fillId="2" borderId="42" xfId="0" applyFont="1" applyFill="1" applyBorder="1"/>
    <xf numFmtId="0" fontId="2" fillId="2" borderId="43" xfId="0" applyFont="1" applyFill="1" applyBorder="1" applyAlignment="1">
      <alignment horizontal="center"/>
    </xf>
    <xf numFmtId="0" fontId="4" fillId="2" borderId="18" xfId="0" applyFont="1" applyFill="1" applyBorder="1"/>
    <xf numFmtId="0" fontId="2" fillId="2" borderId="17" xfId="0" applyFont="1" applyFill="1" applyBorder="1" applyAlignment="1">
      <alignment horizontal="center"/>
    </xf>
    <xf numFmtId="0" fontId="16" fillId="2" borderId="43" xfId="0" applyFont="1" applyFill="1" applyBorder="1" applyAlignment="1">
      <alignment horizontal="center" wrapText="1"/>
    </xf>
    <xf numFmtId="0" fontId="2" fillId="2" borderId="43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4" fillId="2" borderId="42" xfId="0" applyFont="1" applyFill="1" applyBorder="1" applyAlignment="1">
      <alignment vertical="top" wrapText="1"/>
    </xf>
    <xf numFmtId="0" fontId="4" fillId="2" borderId="41" xfId="0" applyFont="1" applyFill="1" applyBorder="1"/>
    <xf numFmtId="0" fontId="2" fillId="2" borderId="46" xfId="0" applyFont="1" applyFill="1" applyBorder="1" applyAlignment="1">
      <alignment horizontal="center"/>
    </xf>
    <xf numFmtId="0" fontId="22" fillId="5" borderId="6" xfId="1" applyFont="1" applyFill="1" applyBorder="1" applyAlignment="1" applyProtection="1">
      <alignment horizontal="center"/>
      <protection locked="0"/>
    </xf>
    <xf numFmtId="0" fontId="11" fillId="0" borderId="6" xfId="1" applyFont="1" applyBorder="1" applyAlignment="1">
      <alignment horizontal="left"/>
    </xf>
    <xf numFmtId="0" fontId="11" fillId="0" borderId="6" xfId="1" applyFont="1" applyFill="1" applyBorder="1" applyAlignment="1">
      <alignment horizontal="left"/>
    </xf>
    <xf numFmtId="0" fontId="11" fillId="0" borderId="13" xfId="1" applyFont="1" applyBorder="1" applyAlignment="1">
      <alignment horizontal="left"/>
    </xf>
    <xf numFmtId="0" fontId="5" fillId="0" borderId="0" xfId="1"/>
    <xf numFmtId="0" fontId="8" fillId="0" borderId="0" xfId="1" applyFont="1" applyFill="1" applyBorder="1" applyAlignment="1">
      <alignment horizontal="center" vertical="distributed"/>
    </xf>
    <xf numFmtId="0" fontId="4" fillId="2" borderId="42" xfId="0" applyFont="1" applyFill="1" applyBorder="1" applyAlignment="1">
      <alignment vertical="top"/>
    </xf>
    <xf numFmtId="0" fontId="4" fillId="2" borderId="41" xfId="0" applyFont="1" applyFill="1" applyBorder="1" applyAlignment="1">
      <alignment horizontal="left"/>
    </xf>
    <xf numFmtId="0" fontId="4" fillId="2" borderId="44" xfId="0" applyFont="1" applyFill="1" applyBorder="1" applyAlignment="1">
      <alignment wrapText="1"/>
    </xf>
    <xf numFmtId="0" fontId="2" fillId="2" borderId="24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wrapText="1"/>
    </xf>
    <xf numFmtId="0" fontId="2" fillId="2" borderId="45" xfId="0" applyFont="1" applyFill="1" applyBorder="1" applyAlignment="1">
      <alignment horizontal="center" wrapText="1"/>
    </xf>
    <xf numFmtId="0" fontId="2" fillId="7" borderId="4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0" borderId="0" xfId="1" applyFont="1" applyAlignment="1">
      <alignment horizontal="right"/>
    </xf>
    <xf numFmtId="0" fontId="7" fillId="3" borderId="2" xfId="1" applyFont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0" borderId="8" xfId="1" applyFont="1" applyBorder="1" applyAlignment="1">
      <alignment horizontal="right"/>
    </xf>
    <xf numFmtId="164" fontId="7" fillId="3" borderId="2" xfId="1" applyNumberFormat="1" applyFont="1" applyFill="1" applyBorder="1" applyAlignment="1">
      <alignment horizontal="center"/>
    </xf>
    <xf numFmtId="164" fontId="7" fillId="3" borderId="11" xfId="1" applyNumberFormat="1" applyFont="1" applyFill="1" applyBorder="1" applyAlignment="1">
      <alignment horizontal="center"/>
    </xf>
    <xf numFmtId="164" fontId="7" fillId="3" borderId="3" xfId="1" applyNumberFormat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21" fillId="0" borderId="18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17" xfId="1" applyFont="1" applyBorder="1" applyAlignment="1">
      <alignment horizontal="left"/>
    </xf>
    <xf numFmtId="0" fontId="21" fillId="0" borderId="2" xfId="1" applyFont="1" applyBorder="1" applyAlignment="1">
      <alignment horizontal="left"/>
    </xf>
    <xf numFmtId="0" fontId="21" fillId="0" borderId="11" xfId="1" applyFont="1" applyBorder="1" applyAlignment="1">
      <alignment horizontal="left"/>
    </xf>
    <xf numFmtId="0" fontId="21" fillId="0" borderId="3" xfId="1" applyFont="1" applyBorder="1" applyAlignment="1">
      <alignment horizontal="left"/>
    </xf>
    <xf numFmtId="0" fontId="18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21" fillId="0" borderId="22" xfId="1" applyFont="1" applyBorder="1" applyAlignment="1">
      <alignment horizontal="left"/>
    </xf>
    <xf numFmtId="0" fontId="21" fillId="0" borderId="23" xfId="1" applyFont="1" applyBorder="1" applyAlignment="1">
      <alignment horizontal="left"/>
    </xf>
    <xf numFmtId="0" fontId="21" fillId="0" borderId="24" xfId="1" applyFont="1" applyBorder="1" applyAlignment="1">
      <alignment horizontal="left"/>
    </xf>
    <xf numFmtId="0" fontId="22" fillId="0" borderId="2" xfId="1" applyFont="1" applyBorder="1" applyAlignment="1">
      <alignment horizontal="left"/>
    </xf>
    <xf numFmtId="0" fontId="22" fillId="0" borderId="11" xfId="1" applyFont="1" applyBorder="1" applyAlignment="1">
      <alignment horizontal="left"/>
    </xf>
    <xf numFmtId="0" fontId="22" fillId="0" borderId="3" xfId="1" applyFont="1" applyBorder="1" applyAlignment="1">
      <alignment horizontal="left"/>
    </xf>
    <xf numFmtId="0" fontId="10" fillId="0" borderId="0" xfId="1" applyFont="1" applyAlignment="1">
      <alignment horizontal="center"/>
    </xf>
    <xf numFmtId="0" fontId="21" fillId="0" borderId="25" xfId="1" applyFont="1" applyBorder="1" applyAlignment="1">
      <alignment horizontal="left"/>
    </xf>
    <xf numFmtId="0" fontId="21" fillId="0" borderId="13" xfId="1" applyFont="1" applyBorder="1" applyAlignment="1">
      <alignment horizontal="left"/>
    </xf>
    <xf numFmtId="0" fontId="21" fillId="0" borderId="26" xfId="1" applyFont="1" applyBorder="1" applyAlignment="1">
      <alignment horizontal="left"/>
    </xf>
    <xf numFmtId="0" fontId="23" fillId="0" borderId="0" xfId="1" applyFont="1" applyAlignment="1">
      <alignment horizontal="left"/>
    </xf>
    <xf numFmtId="0" fontId="25" fillId="0" borderId="20" xfId="1" applyFont="1" applyBorder="1" applyAlignment="1">
      <alignment horizontal="left"/>
    </xf>
    <xf numFmtId="0" fontId="25" fillId="0" borderId="21" xfId="1" applyFont="1" applyBorder="1" applyAlignment="1">
      <alignment horizontal="left"/>
    </xf>
    <xf numFmtId="0" fontId="30" fillId="5" borderId="35" xfId="1" applyFont="1" applyFill="1" applyBorder="1" applyAlignment="1">
      <alignment horizontal="center" vertical="distributed"/>
    </xf>
    <xf numFmtId="0" fontId="30" fillId="5" borderId="0" xfId="1" applyFont="1" applyFill="1" applyBorder="1" applyAlignment="1">
      <alignment horizontal="center" vertical="distributed"/>
    </xf>
    <xf numFmtId="0" fontId="30" fillId="5" borderId="14" xfId="1" applyFont="1" applyFill="1" applyBorder="1" applyAlignment="1">
      <alignment horizontal="center" vertical="distributed"/>
    </xf>
    <xf numFmtId="0" fontId="8" fillId="4" borderId="2" xfId="1" applyFont="1" applyFill="1" applyBorder="1" applyAlignment="1"/>
    <xf numFmtId="0" fontId="12" fillId="4" borderId="11" xfId="1" applyFont="1" applyFill="1" applyBorder="1" applyAlignment="1"/>
    <xf numFmtId="0" fontId="12" fillId="4" borderId="3" xfId="1" applyFont="1" applyFill="1" applyBorder="1" applyAlignment="1"/>
    <xf numFmtId="0" fontId="8" fillId="0" borderId="0" xfId="1" applyFont="1" applyFill="1" applyBorder="1" applyAlignment="1">
      <alignment horizontal="center" vertical="distributed"/>
    </xf>
    <xf numFmtId="0" fontId="12" fillId="2" borderId="0" xfId="1" applyFont="1" applyFill="1" applyAlignment="1">
      <alignment horizontal="center"/>
    </xf>
    <xf numFmtId="0" fontId="5" fillId="2" borderId="0" xfId="1" applyFill="1" applyAlignment="1">
      <alignment horizontal="center"/>
    </xf>
    <xf numFmtId="0" fontId="12" fillId="2" borderId="0" xfId="1" applyFont="1" applyFill="1" applyAlignment="1">
      <alignment horizontal="right"/>
    </xf>
    <xf numFmtId="0" fontId="5" fillId="0" borderId="0" xfId="1" applyFill="1" applyBorder="1" applyAlignment="1"/>
    <xf numFmtId="0" fontId="5" fillId="0" borderId="0" xfId="1"/>
    <xf numFmtId="0" fontId="5" fillId="0" borderId="0" xfId="1" applyAlignment="1"/>
    <xf numFmtId="0" fontId="1" fillId="6" borderId="2" xfId="6" applyFill="1" applyBorder="1" applyAlignment="1">
      <alignment horizontal="center"/>
    </xf>
    <xf numFmtId="0" fontId="1" fillId="6" borderId="11" xfId="6" applyFill="1" applyBorder="1" applyAlignment="1">
      <alignment horizontal="center"/>
    </xf>
    <xf numFmtId="0" fontId="1" fillId="6" borderId="3" xfId="6" applyFill="1" applyBorder="1" applyAlignment="1">
      <alignment horizontal="center"/>
    </xf>
  </cellXfs>
  <cellStyles count="7">
    <cellStyle name="Excel Built-in Normal" xfId="2"/>
    <cellStyle name="Обычный" xfId="0" builtinId="0"/>
    <cellStyle name="Обычный 2" xfId="1"/>
    <cellStyle name="Обычный 3" xfId="3"/>
    <cellStyle name="Обычный 4" xfId="4"/>
    <cellStyle name="Обычный 5" xfId="6"/>
    <cellStyle name="Процентный 2" xfId="5"/>
  </cellStyles>
  <dxfs count="0"/>
  <tableStyles count="0" defaultTableStyle="TableStyleMedium2" defaultPivotStyle="PivotStyleMedium9"/>
  <colors>
    <mruColors>
      <color rgb="FFFF66FF"/>
      <color rgb="FF71AEA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38100</xdr:rowOff>
    </xdr:from>
    <xdr:to>
      <xdr:col>1</xdr:col>
      <xdr:colOff>1181100</xdr:colOff>
      <xdr:row>1</xdr:row>
      <xdr:rowOff>180975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8100"/>
          <a:ext cx="2543175" cy="42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86308</xdr:rowOff>
    </xdr:from>
    <xdr:to>
      <xdr:col>1</xdr:col>
      <xdr:colOff>819150</xdr:colOff>
      <xdr:row>3</xdr:row>
      <xdr:rowOff>38100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308"/>
          <a:ext cx="1228725" cy="6185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38100</xdr:colOff>
      <xdr:row>3</xdr:row>
      <xdr:rowOff>152400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19350" cy="771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38100</xdr:colOff>
      <xdr:row>3</xdr:row>
      <xdr:rowOff>152400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84120" cy="7848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073;&#1083;&#1072;&#1085;&#1082;&#1080;\&#1052;&#1050;%20067-17\&#1052;&#1050;%2067-17,,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ецификация клиенту (2)"/>
      <sheetName val="Спецификация клиенту"/>
      <sheetName val="Лист3"/>
    </sheetNames>
    <sheetDataSet>
      <sheetData sheetId="0"/>
      <sheetData sheetId="1">
        <row r="1">
          <cell r="I1" t="str">
            <v>серый</v>
          </cell>
          <cell r="J1" t="str">
            <v>Эггер</v>
          </cell>
        </row>
        <row r="2">
          <cell r="I2" t="str">
            <v>белый</v>
          </cell>
          <cell r="J2" t="str">
            <v>ФЬОРД</v>
          </cell>
        </row>
        <row r="3">
          <cell r="I3" t="str">
            <v>чёрный</v>
          </cell>
          <cell r="J3" t="str">
            <v>Пластик с ПВХ 2мм</v>
          </cell>
        </row>
        <row r="4">
          <cell r="I4" t="str">
            <v>бук</v>
          </cell>
          <cell r="J4" t="str">
            <v>Пластик с 3D</v>
          </cell>
        </row>
        <row r="5">
          <cell r="I5" t="str">
            <v>венге</v>
          </cell>
          <cell r="J5" t="str">
            <v>Пластик с ал. рамкой/ Пластик с АВС</v>
          </cell>
        </row>
        <row r="6">
          <cell r="I6" t="str">
            <v>дуб млечный</v>
          </cell>
          <cell r="J6" t="str">
            <v>МДФ ПВХ тип 1</v>
          </cell>
        </row>
        <row r="7">
          <cell r="I7" t="str">
            <v>ольха</v>
          </cell>
          <cell r="J7" t="str">
            <v>МДФ ПВХ тип 2</v>
          </cell>
        </row>
        <row r="8">
          <cell r="I8" t="str">
            <v>ваниль</v>
          </cell>
          <cell r="J8" t="str">
            <v>МДФ ПВХ тип 3</v>
          </cell>
        </row>
        <row r="9">
          <cell r="I9" t="str">
            <v>итальянский орех</v>
          </cell>
          <cell r="J9" t="str">
            <v>Фотопечать МДФ ПВХ</v>
          </cell>
        </row>
        <row r="10">
          <cell r="I10" t="str">
            <v>орех гварнери</v>
          </cell>
          <cell r="J10" t="str">
            <v>МДФ ПВХ с патиной</v>
          </cell>
        </row>
        <row r="11">
          <cell r="I11" t="str">
            <v>дуб рустик</v>
          </cell>
          <cell r="J11" t="str">
            <v>МДФ ПВХ с патиной лайт</v>
          </cell>
        </row>
        <row r="12">
          <cell r="I12" t="str">
            <v>ноче эко</v>
          </cell>
          <cell r="J12" t="str">
            <v>МДФ ПВХ тип 1 (PREMIUM)</v>
          </cell>
        </row>
        <row r="13">
          <cell r="I13" t="str">
            <v>дуб выбеленный</v>
          </cell>
          <cell r="J13" t="str">
            <v>МДФ ПВХ тип 2 (PREMIUM)</v>
          </cell>
        </row>
        <row r="14">
          <cell r="I14" t="str">
            <v>ясень шимо тёмный</v>
          </cell>
          <cell r="J14" t="str">
            <v>МДФ ПВХ тип 3 (PREMIUM)</v>
          </cell>
        </row>
        <row r="15">
          <cell r="I15" t="str">
            <v>ясень шимо светлый</v>
          </cell>
          <cell r="J15" t="str">
            <v>МДФ в ПВХ с патиной (PREMIUM)</v>
          </cell>
        </row>
        <row r="16">
          <cell r="I16" t="str">
            <v>венге светлый</v>
          </cell>
          <cell r="J16" t="str">
            <v>МДФ ПВХ с патиной лайт (PREMIUM)</v>
          </cell>
        </row>
        <row r="17">
          <cell r="I17" t="str">
            <v>титан</v>
          </cell>
          <cell r="J17" t="e">
            <v>#REF!</v>
          </cell>
        </row>
        <row r="18">
          <cell r="I18" t="str">
            <v>лайм</v>
          </cell>
          <cell r="J18" t="e">
            <v>#REF!</v>
          </cell>
        </row>
        <row r="19">
          <cell r="I19" t="str">
            <v>индиан эбони светлый</v>
          </cell>
        </row>
        <row r="20">
          <cell r="I20" t="str">
            <v>рамух белый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abSelected="1" topLeftCell="A10" zoomScale="110" zoomScaleNormal="110" workbookViewId="0">
      <selection activeCell="B31" sqref="B31"/>
    </sheetView>
  </sheetViews>
  <sheetFormatPr defaultRowHeight="15"/>
  <cols>
    <col min="1" max="1" width="23.42578125" customWidth="1"/>
    <col min="2" max="2" width="30.140625" customWidth="1"/>
    <col min="3" max="3" width="16.7109375" customWidth="1"/>
    <col min="4" max="5" width="14.28515625" customWidth="1"/>
    <col min="6" max="6" width="19.140625" customWidth="1"/>
    <col min="7" max="7" width="17.42578125" customWidth="1"/>
    <col min="8" max="8" width="18" customWidth="1"/>
  </cols>
  <sheetData>
    <row r="1" spans="1:8" ht="22.5" customHeight="1" thickBot="1">
      <c r="A1" s="171"/>
      <c r="B1" s="172"/>
      <c r="C1" s="144" t="s">
        <v>0</v>
      </c>
      <c r="D1" s="1" t="s">
        <v>1</v>
      </c>
      <c r="E1" s="1" t="s">
        <v>36</v>
      </c>
      <c r="F1" s="1" t="s">
        <v>88</v>
      </c>
      <c r="G1" s="1" t="s">
        <v>2</v>
      </c>
      <c r="H1" s="1" t="s">
        <v>3</v>
      </c>
    </row>
    <row r="2" spans="1:8" ht="19.5" thickBot="1">
      <c r="A2" s="173"/>
      <c r="B2" s="174"/>
      <c r="C2" s="144"/>
      <c r="D2" s="1"/>
      <c r="E2" s="1"/>
      <c r="F2" s="1"/>
      <c r="G2" s="37"/>
      <c r="H2" s="37"/>
    </row>
    <row r="3" spans="1:8" ht="16.5" thickBot="1">
      <c r="A3" s="169" t="s">
        <v>8</v>
      </c>
      <c r="B3" s="170"/>
    </row>
    <row r="4" spans="1:8" ht="47.25">
      <c r="A4" s="145" t="s">
        <v>72</v>
      </c>
      <c r="B4" s="168" t="s">
        <v>95</v>
      </c>
    </row>
    <row r="5" spans="1:8" ht="15.75">
      <c r="A5" s="145" t="s">
        <v>71</v>
      </c>
      <c r="B5" s="146" t="s">
        <v>96</v>
      </c>
    </row>
    <row r="6" spans="1:8" ht="15.75">
      <c r="A6" s="147" t="s">
        <v>4</v>
      </c>
      <c r="B6" s="148" t="s">
        <v>97</v>
      </c>
    </row>
    <row r="7" spans="1:8" ht="15.75">
      <c r="A7" s="147" t="s">
        <v>5</v>
      </c>
      <c r="B7" s="166" t="s">
        <v>98</v>
      </c>
    </row>
    <row r="8" spans="1:8" ht="15.75">
      <c r="A8" s="147" t="s">
        <v>6</v>
      </c>
      <c r="B8" s="148" t="s">
        <v>99</v>
      </c>
    </row>
    <row r="9" spans="1:8" ht="16.5" thickBot="1">
      <c r="A9" s="163" t="s">
        <v>91</v>
      </c>
      <c r="B9" s="167"/>
    </row>
    <row r="10" spans="1:8" ht="16.5" thickBot="1">
      <c r="A10" s="169" t="s">
        <v>7</v>
      </c>
      <c r="B10" s="170"/>
    </row>
    <row r="11" spans="1:8" ht="23.25">
      <c r="A11" s="161" t="s">
        <v>38</v>
      </c>
      <c r="B11" s="149" t="s">
        <v>58</v>
      </c>
      <c r="D11" s="140"/>
      <c r="E11" s="141"/>
      <c r="F11" s="141"/>
      <c r="G11" s="141"/>
    </row>
    <row r="12" spans="1:8" s="151" customFormat="1" ht="21" customHeight="1">
      <c r="A12" s="152" t="s">
        <v>76</v>
      </c>
      <c r="B12" s="150"/>
      <c r="D12" s="141"/>
      <c r="E12" s="141"/>
      <c r="F12" s="141"/>
      <c r="G12" s="141"/>
    </row>
    <row r="13" spans="1:8" ht="31.5">
      <c r="A13" s="147" t="s">
        <v>92</v>
      </c>
      <c r="B13" s="166" t="s">
        <v>100</v>
      </c>
      <c r="D13" s="141"/>
      <c r="E13" s="141"/>
      <c r="F13" s="141"/>
      <c r="G13" s="141"/>
    </row>
    <row r="14" spans="1:8" ht="15.75">
      <c r="A14" s="147" t="s">
        <v>37</v>
      </c>
      <c r="B14" s="148"/>
    </row>
    <row r="15" spans="1:8" ht="15.75">
      <c r="A15" s="147" t="s">
        <v>77</v>
      </c>
      <c r="B15" s="148"/>
    </row>
    <row r="16" spans="1:8" ht="15.75">
      <c r="A16" s="147" t="s">
        <v>78</v>
      </c>
      <c r="B16" s="148"/>
    </row>
    <row r="17" spans="1:2" ht="15.75">
      <c r="A17" s="147" t="s">
        <v>79</v>
      </c>
      <c r="B17" s="148"/>
    </row>
    <row r="18" spans="1:2" ht="16.5" thickBot="1">
      <c r="A18" s="147" t="s">
        <v>93</v>
      </c>
      <c r="B18" s="148"/>
    </row>
    <row r="19" spans="1:2" ht="16.149999999999999" customHeight="1" thickBot="1">
      <c r="A19" s="169" t="s">
        <v>73</v>
      </c>
      <c r="B19" s="170"/>
    </row>
    <row r="20" spans="1:2" ht="16.149999999999999" customHeight="1">
      <c r="A20" s="142" t="s">
        <v>74</v>
      </c>
      <c r="B20" s="164" t="s">
        <v>101</v>
      </c>
    </row>
    <row r="21" spans="1:2" ht="16.149999999999999" customHeight="1">
      <c r="A21" s="143" t="s">
        <v>75</v>
      </c>
      <c r="B21" s="148" t="s">
        <v>97</v>
      </c>
    </row>
    <row r="22" spans="1:2" ht="16.149999999999999" customHeight="1">
      <c r="A22" s="143" t="s">
        <v>87</v>
      </c>
      <c r="B22" s="166" t="s">
        <v>98</v>
      </c>
    </row>
    <row r="23" spans="1:2" ht="16.149999999999999" customHeight="1" thickBot="1">
      <c r="A23" s="162" t="s">
        <v>89</v>
      </c>
      <c r="B23" s="165"/>
    </row>
    <row r="24" spans="1:2" ht="16.5" thickBot="1">
      <c r="A24" s="169" t="s">
        <v>9</v>
      </c>
      <c r="B24" s="170"/>
    </row>
    <row r="25" spans="1:2" ht="15.75">
      <c r="A25" s="145" t="s">
        <v>10</v>
      </c>
      <c r="B25" s="146"/>
    </row>
    <row r="26" spans="1:2" ht="31.5">
      <c r="A26" s="145" t="s">
        <v>80</v>
      </c>
      <c r="B26" s="168" t="s">
        <v>102</v>
      </c>
    </row>
    <row r="27" spans="1:2" ht="15.75">
      <c r="A27" s="145" t="s">
        <v>94</v>
      </c>
      <c r="B27" s="146"/>
    </row>
    <row r="28" spans="1:2" ht="15.75">
      <c r="A28" s="145" t="s">
        <v>82</v>
      </c>
      <c r="B28" s="146"/>
    </row>
    <row r="29" spans="1:2" ht="15.75">
      <c r="A29" s="147" t="s">
        <v>90</v>
      </c>
      <c r="B29" s="148" t="s">
        <v>103</v>
      </c>
    </row>
    <row r="30" spans="1:2" ht="15.75">
      <c r="A30" s="147" t="s">
        <v>84</v>
      </c>
      <c r="B30" s="148" t="s">
        <v>104</v>
      </c>
    </row>
    <row r="31" spans="1:2" ht="15.75">
      <c r="A31" s="147" t="s">
        <v>81</v>
      </c>
      <c r="B31" s="148"/>
    </row>
    <row r="32" spans="1:2" ht="15.75">
      <c r="A32" s="147" t="s">
        <v>34</v>
      </c>
      <c r="B32" s="166"/>
    </row>
    <row r="33" spans="1:2" ht="15.75">
      <c r="A33" s="147" t="s">
        <v>11</v>
      </c>
      <c r="B33" s="148"/>
    </row>
    <row r="34" spans="1:2" ht="15.75">
      <c r="A34" s="147" t="s">
        <v>85</v>
      </c>
      <c r="B34" s="148"/>
    </row>
    <row r="35" spans="1:2" ht="15.75">
      <c r="A35" s="147" t="s">
        <v>86</v>
      </c>
      <c r="B35" s="148"/>
    </row>
    <row r="36" spans="1:2" ht="16.5" thickBot="1">
      <c r="A36" s="153" t="s">
        <v>35</v>
      </c>
      <c r="B36" s="154"/>
    </row>
  </sheetData>
  <mergeCells count="5">
    <mergeCell ref="A24:B24"/>
    <mergeCell ref="A3:B3"/>
    <mergeCell ref="A1:B2"/>
    <mergeCell ref="A10:B10"/>
    <mergeCell ref="A19:B19"/>
  </mergeCells>
  <pageMargins left="0.25" right="0.25" top="0.75" bottom="0.75" header="0.3" footer="0.3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182"/>
  <sheetViews>
    <sheetView zoomScaleNormal="100" workbookViewId="0">
      <selection activeCell="B19" sqref="B19"/>
    </sheetView>
  </sheetViews>
  <sheetFormatPr defaultColWidth="9.140625" defaultRowHeight="12.75"/>
  <cols>
    <col min="1" max="1" width="6.140625" style="2" customWidth="1"/>
    <col min="2" max="2" width="50.5703125" style="2" customWidth="1"/>
    <col min="3" max="3" width="7" style="2" customWidth="1"/>
    <col min="4" max="4" width="11" style="2" customWidth="1"/>
    <col min="5" max="5" width="7.140625" style="2" customWidth="1"/>
    <col min="6" max="6" width="23.28515625" style="2" customWidth="1"/>
    <col min="7" max="7" width="11.5703125" style="2" customWidth="1"/>
    <col min="8" max="8" width="9.140625" style="2" hidden="1" customWidth="1"/>
    <col min="9" max="9" width="18.140625" style="2" hidden="1" customWidth="1"/>
    <col min="10" max="10" width="32.42578125" style="2" hidden="1" customWidth="1"/>
    <col min="11" max="26" width="9.140625" style="2" hidden="1" customWidth="1"/>
    <col min="27" max="27" width="9.140625" style="2" customWidth="1"/>
    <col min="28" max="30" width="9.7109375" style="2" customWidth="1"/>
    <col min="31" max="31" width="6.85546875" style="2" customWidth="1"/>
    <col min="32" max="32" width="14.5703125" style="2" customWidth="1"/>
    <col min="33" max="256" width="9.140625" style="2"/>
    <col min="257" max="257" width="6.140625" style="2" customWidth="1"/>
    <col min="258" max="258" width="49.28515625" style="2" customWidth="1"/>
    <col min="259" max="259" width="7" style="2" customWidth="1"/>
    <col min="260" max="260" width="11" style="2" customWidth="1"/>
    <col min="261" max="261" width="7.140625" style="2" customWidth="1"/>
    <col min="262" max="262" width="23.28515625" style="2" customWidth="1"/>
    <col min="263" max="263" width="11.5703125" style="2" customWidth="1"/>
    <col min="264" max="282" width="0" style="2" hidden="1" customWidth="1"/>
    <col min="283" max="286" width="9.140625" style="2" customWidth="1"/>
    <col min="287" max="512" width="9.140625" style="2"/>
    <col min="513" max="513" width="6.140625" style="2" customWidth="1"/>
    <col min="514" max="514" width="49.28515625" style="2" customWidth="1"/>
    <col min="515" max="515" width="7" style="2" customWidth="1"/>
    <col min="516" max="516" width="11" style="2" customWidth="1"/>
    <col min="517" max="517" width="7.140625" style="2" customWidth="1"/>
    <col min="518" max="518" width="23.28515625" style="2" customWidth="1"/>
    <col min="519" max="519" width="11.5703125" style="2" customWidth="1"/>
    <col min="520" max="538" width="0" style="2" hidden="1" customWidth="1"/>
    <col min="539" max="542" width="9.140625" style="2" customWidth="1"/>
    <col min="543" max="768" width="9.140625" style="2"/>
    <col min="769" max="769" width="6.140625" style="2" customWidth="1"/>
    <col min="770" max="770" width="49.28515625" style="2" customWidth="1"/>
    <col min="771" max="771" width="7" style="2" customWidth="1"/>
    <col min="772" max="772" width="11" style="2" customWidth="1"/>
    <col min="773" max="773" width="7.140625" style="2" customWidth="1"/>
    <col min="774" max="774" width="23.28515625" style="2" customWidth="1"/>
    <col min="775" max="775" width="11.5703125" style="2" customWidth="1"/>
    <col min="776" max="794" width="0" style="2" hidden="1" customWidth="1"/>
    <col min="795" max="798" width="9.140625" style="2" customWidth="1"/>
    <col min="799" max="1024" width="9.140625" style="2"/>
    <col min="1025" max="1025" width="6.140625" style="2" customWidth="1"/>
    <col min="1026" max="1026" width="49.28515625" style="2" customWidth="1"/>
    <col min="1027" max="1027" width="7" style="2" customWidth="1"/>
    <col min="1028" max="1028" width="11" style="2" customWidth="1"/>
    <col min="1029" max="1029" width="7.140625" style="2" customWidth="1"/>
    <col min="1030" max="1030" width="23.28515625" style="2" customWidth="1"/>
    <col min="1031" max="1031" width="11.5703125" style="2" customWidth="1"/>
    <col min="1032" max="1050" width="0" style="2" hidden="1" customWidth="1"/>
    <col min="1051" max="1054" width="9.140625" style="2" customWidth="1"/>
    <col min="1055" max="1280" width="9.140625" style="2"/>
    <col min="1281" max="1281" width="6.140625" style="2" customWidth="1"/>
    <col min="1282" max="1282" width="49.28515625" style="2" customWidth="1"/>
    <col min="1283" max="1283" width="7" style="2" customWidth="1"/>
    <col min="1284" max="1284" width="11" style="2" customWidth="1"/>
    <col min="1285" max="1285" width="7.140625" style="2" customWidth="1"/>
    <col min="1286" max="1286" width="23.28515625" style="2" customWidth="1"/>
    <col min="1287" max="1287" width="11.5703125" style="2" customWidth="1"/>
    <col min="1288" max="1306" width="0" style="2" hidden="1" customWidth="1"/>
    <col min="1307" max="1310" width="9.140625" style="2" customWidth="1"/>
    <col min="1311" max="1536" width="9.140625" style="2"/>
    <col min="1537" max="1537" width="6.140625" style="2" customWidth="1"/>
    <col min="1538" max="1538" width="49.28515625" style="2" customWidth="1"/>
    <col min="1539" max="1539" width="7" style="2" customWidth="1"/>
    <col min="1540" max="1540" width="11" style="2" customWidth="1"/>
    <col min="1541" max="1541" width="7.140625" style="2" customWidth="1"/>
    <col min="1542" max="1542" width="23.28515625" style="2" customWidth="1"/>
    <col min="1543" max="1543" width="11.5703125" style="2" customWidth="1"/>
    <col min="1544" max="1562" width="0" style="2" hidden="1" customWidth="1"/>
    <col min="1563" max="1566" width="9.140625" style="2" customWidth="1"/>
    <col min="1567" max="1792" width="9.140625" style="2"/>
    <col min="1793" max="1793" width="6.140625" style="2" customWidth="1"/>
    <col min="1794" max="1794" width="49.28515625" style="2" customWidth="1"/>
    <col min="1795" max="1795" width="7" style="2" customWidth="1"/>
    <col min="1796" max="1796" width="11" style="2" customWidth="1"/>
    <col min="1797" max="1797" width="7.140625" style="2" customWidth="1"/>
    <col min="1798" max="1798" width="23.28515625" style="2" customWidth="1"/>
    <col min="1799" max="1799" width="11.5703125" style="2" customWidth="1"/>
    <col min="1800" max="1818" width="0" style="2" hidden="1" customWidth="1"/>
    <col min="1819" max="1822" width="9.140625" style="2" customWidth="1"/>
    <col min="1823" max="2048" width="9.140625" style="2"/>
    <col min="2049" max="2049" width="6.140625" style="2" customWidth="1"/>
    <col min="2050" max="2050" width="49.28515625" style="2" customWidth="1"/>
    <col min="2051" max="2051" width="7" style="2" customWidth="1"/>
    <col min="2052" max="2052" width="11" style="2" customWidth="1"/>
    <col min="2053" max="2053" width="7.140625" style="2" customWidth="1"/>
    <col min="2054" max="2054" width="23.28515625" style="2" customWidth="1"/>
    <col min="2055" max="2055" width="11.5703125" style="2" customWidth="1"/>
    <col min="2056" max="2074" width="0" style="2" hidden="1" customWidth="1"/>
    <col min="2075" max="2078" width="9.140625" style="2" customWidth="1"/>
    <col min="2079" max="2304" width="9.140625" style="2"/>
    <col min="2305" max="2305" width="6.140625" style="2" customWidth="1"/>
    <col min="2306" max="2306" width="49.28515625" style="2" customWidth="1"/>
    <col min="2307" max="2307" width="7" style="2" customWidth="1"/>
    <col min="2308" max="2308" width="11" style="2" customWidth="1"/>
    <col min="2309" max="2309" width="7.140625" style="2" customWidth="1"/>
    <col min="2310" max="2310" width="23.28515625" style="2" customWidth="1"/>
    <col min="2311" max="2311" width="11.5703125" style="2" customWidth="1"/>
    <col min="2312" max="2330" width="0" style="2" hidden="1" customWidth="1"/>
    <col min="2331" max="2334" width="9.140625" style="2" customWidth="1"/>
    <col min="2335" max="2560" width="9.140625" style="2"/>
    <col min="2561" max="2561" width="6.140625" style="2" customWidth="1"/>
    <col min="2562" max="2562" width="49.28515625" style="2" customWidth="1"/>
    <col min="2563" max="2563" width="7" style="2" customWidth="1"/>
    <col min="2564" max="2564" width="11" style="2" customWidth="1"/>
    <col min="2565" max="2565" width="7.140625" style="2" customWidth="1"/>
    <col min="2566" max="2566" width="23.28515625" style="2" customWidth="1"/>
    <col min="2567" max="2567" width="11.5703125" style="2" customWidth="1"/>
    <col min="2568" max="2586" width="0" style="2" hidden="1" customWidth="1"/>
    <col min="2587" max="2590" width="9.140625" style="2" customWidth="1"/>
    <col min="2591" max="2816" width="9.140625" style="2"/>
    <col min="2817" max="2817" width="6.140625" style="2" customWidth="1"/>
    <col min="2818" max="2818" width="49.28515625" style="2" customWidth="1"/>
    <col min="2819" max="2819" width="7" style="2" customWidth="1"/>
    <col min="2820" max="2820" width="11" style="2" customWidth="1"/>
    <col min="2821" max="2821" width="7.140625" style="2" customWidth="1"/>
    <col min="2822" max="2822" width="23.28515625" style="2" customWidth="1"/>
    <col min="2823" max="2823" width="11.5703125" style="2" customWidth="1"/>
    <col min="2824" max="2842" width="0" style="2" hidden="1" customWidth="1"/>
    <col min="2843" max="2846" width="9.140625" style="2" customWidth="1"/>
    <col min="2847" max="3072" width="9.140625" style="2"/>
    <col min="3073" max="3073" width="6.140625" style="2" customWidth="1"/>
    <col min="3074" max="3074" width="49.28515625" style="2" customWidth="1"/>
    <col min="3075" max="3075" width="7" style="2" customWidth="1"/>
    <col min="3076" max="3076" width="11" style="2" customWidth="1"/>
    <col min="3077" max="3077" width="7.140625" style="2" customWidth="1"/>
    <col min="3078" max="3078" width="23.28515625" style="2" customWidth="1"/>
    <col min="3079" max="3079" width="11.5703125" style="2" customWidth="1"/>
    <col min="3080" max="3098" width="0" style="2" hidden="1" customWidth="1"/>
    <col min="3099" max="3102" width="9.140625" style="2" customWidth="1"/>
    <col min="3103" max="3328" width="9.140625" style="2"/>
    <col min="3329" max="3329" width="6.140625" style="2" customWidth="1"/>
    <col min="3330" max="3330" width="49.28515625" style="2" customWidth="1"/>
    <col min="3331" max="3331" width="7" style="2" customWidth="1"/>
    <col min="3332" max="3332" width="11" style="2" customWidth="1"/>
    <col min="3333" max="3333" width="7.140625" style="2" customWidth="1"/>
    <col min="3334" max="3334" width="23.28515625" style="2" customWidth="1"/>
    <col min="3335" max="3335" width="11.5703125" style="2" customWidth="1"/>
    <col min="3336" max="3354" width="0" style="2" hidden="1" customWidth="1"/>
    <col min="3355" max="3358" width="9.140625" style="2" customWidth="1"/>
    <col min="3359" max="3584" width="9.140625" style="2"/>
    <col min="3585" max="3585" width="6.140625" style="2" customWidth="1"/>
    <col min="3586" max="3586" width="49.28515625" style="2" customWidth="1"/>
    <col min="3587" max="3587" width="7" style="2" customWidth="1"/>
    <col min="3588" max="3588" width="11" style="2" customWidth="1"/>
    <col min="3589" max="3589" width="7.140625" style="2" customWidth="1"/>
    <col min="3590" max="3590" width="23.28515625" style="2" customWidth="1"/>
    <col min="3591" max="3591" width="11.5703125" style="2" customWidth="1"/>
    <col min="3592" max="3610" width="0" style="2" hidden="1" customWidth="1"/>
    <col min="3611" max="3614" width="9.140625" style="2" customWidth="1"/>
    <col min="3615" max="3840" width="9.140625" style="2"/>
    <col min="3841" max="3841" width="6.140625" style="2" customWidth="1"/>
    <col min="3842" max="3842" width="49.28515625" style="2" customWidth="1"/>
    <col min="3843" max="3843" width="7" style="2" customWidth="1"/>
    <col min="3844" max="3844" width="11" style="2" customWidth="1"/>
    <col min="3845" max="3845" width="7.140625" style="2" customWidth="1"/>
    <col min="3846" max="3846" width="23.28515625" style="2" customWidth="1"/>
    <col min="3847" max="3847" width="11.5703125" style="2" customWidth="1"/>
    <col min="3848" max="3866" width="0" style="2" hidden="1" customWidth="1"/>
    <col min="3867" max="3870" width="9.140625" style="2" customWidth="1"/>
    <col min="3871" max="4096" width="9.140625" style="2"/>
    <col min="4097" max="4097" width="6.140625" style="2" customWidth="1"/>
    <col min="4098" max="4098" width="49.28515625" style="2" customWidth="1"/>
    <col min="4099" max="4099" width="7" style="2" customWidth="1"/>
    <col min="4100" max="4100" width="11" style="2" customWidth="1"/>
    <col min="4101" max="4101" width="7.140625" style="2" customWidth="1"/>
    <col min="4102" max="4102" width="23.28515625" style="2" customWidth="1"/>
    <col min="4103" max="4103" width="11.5703125" style="2" customWidth="1"/>
    <col min="4104" max="4122" width="0" style="2" hidden="1" customWidth="1"/>
    <col min="4123" max="4126" width="9.140625" style="2" customWidth="1"/>
    <col min="4127" max="4352" width="9.140625" style="2"/>
    <col min="4353" max="4353" width="6.140625" style="2" customWidth="1"/>
    <col min="4354" max="4354" width="49.28515625" style="2" customWidth="1"/>
    <col min="4355" max="4355" width="7" style="2" customWidth="1"/>
    <col min="4356" max="4356" width="11" style="2" customWidth="1"/>
    <col min="4357" max="4357" width="7.140625" style="2" customWidth="1"/>
    <col min="4358" max="4358" width="23.28515625" style="2" customWidth="1"/>
    <col min="4359" max="4359" width="11.5703125" style="2" customWidth="1"/>
    <col min="4360" max="4378" width="0" style="2" hidden="1" customWidth="1"/>
    <col min="4379" max="4382" width="9.140625" style="2" customWidth="1"/>
    <col min="4383" max="4608" width="9.140625" style="2"/>
    <col min="4609" max="4609" width="6.140625" style="2" customWidth="1"/>
    <col min="4610" max="4610" width="49.28515625" style="2" customWidth="1"/>
    <col min="4611" max="4611" width="7" style="2" customWidth="1"/>
    <col min="4612" max="4612" width="11" style="2" customWidth="1"/>
    <col min="4613" max="4613" width="7.140625" style="2" customWidth="1"/>
    <col min="4614" max="4614" width="23.28515625" style="2" customWidth="1"/>
    <col min="4615" max="4615" width="11.5703125" style="2" customWidth="1"/>
    <col min="4616" max="4634" width="0" style="2" hidden="1" customWidth="1"/>
    <col min="4635" max="4638" width="9.140625" style="2" customWidth="1"/>
    <col min="4639" max="4864" width="9.140625" style="2"/>
    <col min="4865" max="4865" width="6.140625" style="2" customWidth="1"/>
    <col min="4866" max="4866" width="49.28515625" style="2" customWidth="1"/>
    <col min="4867" max="4867" width="7" style="2" customWidth="1"/>
    <col min="4868" max="4868" width="11" style="2" customWidth="1"/>
    <col min="4869" max="4869" width="7.140625" style="2" customWidth="1"/>
    <col min="4870" max="4870" width="23.28515625" style="2" customWidth="1"/>
    <col min="4871" max="4871" width="11.5703125" style="2" customWidth="1"/>
    <col min="4872" max="4890" width="0" style="2" hidden="1" customWidth="1"/>
    <col min="4891" max="4894" width="9.140625" style="2" customWidth="1"/>
    <col min="4895" max="5120" width="9.140625" style="2"/>
    <col min="5121" max="5121" width="6.140625" style="2" customWidth="1"/>
    <col min="5122" max="5122" width="49.28515625" style="2" customWidth="1"/>
    <col min="5123" max="5123" width="7" style="2" customWidth="1"/>
    <col min="5124" max="5124" width="11" style="2" customWidth="1"/>
    <col min="5125" max="5125" width="7.140625" style="2" customWidth="1"/>
    <col min="5126" max="5126" width="23.28515625" style="2" customWidth="1"/>
    <col min="5127" max="5127" width="11.5703125" style="2" customWidth="1"/>
    <col min="5128" max="5146" width="0" style="2" hidden="1" customWidth="1"/>
    <col min="5147" max="5150" width="9.140625" style="2" customWidth="1"/>
    <col min="5151" max="5376" width="9.140625" style="2"/>
    <col min="5377" max="5377" width="6.140625" style="2" customWidth="1"/>
    <col min="5378" max="5378" width="49.28515625" style="2" customWidth="1"/>
    <col min="5379" max="5379" width="7" style="2" customWidth="1"/>
    <col min="5380" max="5380" width="11" style="2" customWidth="1"/>
    <col min="5381" max="5381" width="7.140625" style="2" customWidth="1"/>
    <col min="5382" max="5382" width="23.28515625" style="2" customWidth="1"/>
    <col min="5383" max="5383" width="11.5703125" style="2" customWidth="1"/>
    <col min="5384" max="5402" width="0" style="2" hidden="1" customWidth="1"/>
    <col min="5403" max="5406" width="9.140625" style="2" customWidth="1"/>
    <col min="5407" max="5632" width="9.140625" style="2"/>
    <col min="5633" max="5633" width="6.140625" style="2" customWidth="1"/>
    <col min="5634" max="5634" width="49.28515625" style="2" customWidth="1"/>
    <col min="5635" max="5635" width="7" style="2" customWidth="1"/>
    <col min="5636" max="5636" width="11" style="2" customWidth="1"/>
    <col min="5637" max="5637" width="7.140625" style="2" customWidth="1"/>
    <col min="5638" max="5638" width="23.28515625" style="2" customWidth="1"/>
    <col min="5639" max="5639" width="11.5703125" style="2" customWidth="1"/>
    <col min="5640" max="5658" width="0" style="2" hidden="1" customWidth="1"/>
    <col min="5659" max="5662" width="9.140625" style="2" customWidth="1"/>
    <col min="5663" max="5888" width="9.140625" style="2"/>
    <col min="5889" max="5889" width="6.140625" style="2" customWidth="1"/>
    <col min="5890" max="5890" width="49.28515625" style="2" customWidth="1"/>
    <col min="5891" max="5891" width="7" style="2" customWidth="1"/>
    <col min="5892" max="5892" width="11" style="2" customWidth="1"/>
    <col min="5893" max="5893" width="7.140625" style="2" customWidth="1"/>
    <col min="5894" max="5894" width="23.28515625" style="2" customWidth="1"/>
    <col min="5895" max="5895" width="11.5703125" style="2" customWidth="1"/>
    <col min="5896" max="5914" width="0" style="2" hidden="1" customWidth="1"/>
    <col min="5915" max="5918" width="9.140625" style="2" customWidth="1"/>
    <col min="5919" max="6144" width="9.140625" style="2"/>
    <col min="6145" max="6145" width="6.140625" style="2" customWidth="1"/>
    <col min="6146" max="6146" width="49.28515625" style="2" customWidth="1"/>
    <col min="6147" max="6147" width="7" style="2" customWidth="1"/>
    <col min="6148" max="6148" width="11" style="2" customWidth="1"/>
    <col min="6149" max="6149" width="7.140625" style="2" customWidth="1"/>
    <col min="6150" max="6150" width="23.28515625" style="2" customWidth="1"/>
    <col min="6151" max="6151" width="11.5703125" style="2" customWidth="1"/>
    <col min="6152" max="6170" width="0" style="2" hidden="1" customWidth="1"/>
    <col min="6171" max="6174" width="9.140625" style="2" customWidth="1"/>
    <col min="6175" max="6400" width="9.140625" style="2"/>
    <col min="6401" max="6401" width="6.140625" style="2" customWidth="1"/>
    <col min="6402" max="6402" width="49.28515625" style="2" customWidth="1"/>
    <col min="6403" max="6403" width="7" style="2" customWidth="1"/>
    <col min="6404" max="6404" width="11" style="2" customWidth="1"/>
    <col min="6405" max="6405" width="7.140625" style="2" customWidth="1"/>
    <col min="6406" max="6406" width="23.28515625" style="2" customWidth="1"/>
    <col min="6407" max="6407" width="11.5703125" style="2" customWidth="1"/>
    <col min="6408" max="6426" width="0" style="2" hidden="1" customWidth="1"/>
    <col min="6427" max="6430" width="9.140625" style="2" customWidth="1"/>
    <col min="6431" max="6656" width="9.140625" style="2"/>
    <col min="6657" max="6657" width="6.140625" style="2" customWidth="1"/>
    <col min="6658" max="6658" width="49.28515625" style="2" customWidth="1"/>
    <col min="6659" max="6659" width="7" style="2" customWidth="1"/>
    <col min="6660" max="6660" width="11" style="2" customWidth="1"/>
    <col min="6661" max="6661" width="7.140625" style="2" customWidth="1"/>
    <col min="6662" max="6662" width="23.28515625" style="2" customWidth="1"/>
    <col min="6663" max="6663" width="11.5703125" style="2" customWidth="1"/>
    <col min="6664" max="6682" width="0" style="2" hidden="1" customWidth="1"/>
    <col min="6683" max="6686" width="9.140625" style="2" customWidth="1"/>
    <col min="6687" max="6912" width="9.140625" style="2"/>
    <col min="6913" max="6913" width="6.140625" style="2" customWidth="1"/>
    <col min="6914" max="6914" width="49.28515625" style="2" customWidth="1"/>
    <col min="6915" max="6915" width="7" style="2" customWidth="1"/>
    <col min="6916" max="6916" width="11" style="2" customWidth="1"/>
    <col min="6917" max="6917" width="7.140625" style="2" customWidth="1"/>
    <col min="6918" max="6918" width="23.28515625" style="2" customWidth="1"/>
    <col min="6919" max="6919" width="11.5703125" style="2" customWidth="1"/>
    <col min="6920" max="6938" width="0" style="2" hidden="1" customWidth="1"/>
    <col min="6939" max="6942" width="9.140625" style="2" customWidth="1"/>
    <col min="6943" max="7168" width="9.140625" style="2"/>
    <col min="7169" max="7169" width="6.140625" style="2" customWidth="1"/>
    <col min="7170" max="7170" width="49.28515625" style="2" customWidth="1"/>
    <col min="7171" max="7171" width="7" style="2" customWidth="1"/>
    <col min="7172" max="7172" width="11" style="2" customWidth="1"/>
    <col min="7173" max="7173" width="7.140625" style="2" customWidth="1"/>
    <col min="7174" max="7174" width="23.28515625" style="2" customWidth="1"/>
    <col min="7175" max="7175" width="11.5703125" style="2" customWidth="1"/>
    <col min="7176" max="7194" width="0" style="2" hidden="1" customWidth="1"/>
    <col min="7195" max="7198" width="9.140625" style="2" customWidth="1"/>
    <col min="7199" max="7424" width="9.140625" style="2"/>
    <col min="7425" max="7425" width="6.140625" style="2" customWidth="1"/>
    <col min="7426" max="7426" width="49.28515625" style="2" customWidth="1"/>
    <col min="7427" max="7427" width="7" style="2" customWidth="1"/>
    <col min="7428" max="7428" width="11" style="2" customWidth="1"/>
    <col min="7429" max="7429" width="7.140625" style="2" customWidth="1"/>
    <col min="7430" max="7430" width="23.28515625" style="2" customWidth="1"/>
    <col min="7431" max="7431" width="11.5703125" style="2" customWidth="1"/>
    <col min="7432" max="7450" width="0" style="2" hidden="1" customWidth="1"/>
    <col min="7451" max="7454" width="9.140625" style="2" customWidth="1"/>
    <col min="7455" max="7680" width="9.140625" style="2"/>
    <col min="7681" max="7681" width="6.140625" style="2" customWidth="1"/>
    <col min="7682" max="7682" width="49.28515625" style="2" customWidth="1"/>
    <col min="7683" max="7683" width="7" style="2" customWidth="1"/>
    <col min="7684" max="7684" width="11" style="2" customWidth="1"/>
    <col min="7685" max="7685" width="7.140625" style="2" customWidth="1"/>
    <col min="7686" max="7686" width="23.28515625" style="2" customWidth="1"/>
    <col min="7687" max="7687" width="11.5703125" style="2" customWidth="1"/>
    <col min="7688" max="7706" width="0" style="2" hidden="1" customWidth="1"/>
    <col min="7707" max="7710" width="9.140625" style="2" customWidth="1"/>
    <col min="7711" max="7936" width="9.140625" style="2"/>
    <col min="7937" max="7937" width="6.140625" style="2" customWidth="1"/>
    <col min="7938" max="7938" width="49.28515625" style="2" customWidth="1"/>
    <col min="7939" max="7939" width="7" style="2" customWidth="1"/>
    <col min="7940" max="7940" width="11" style="2" customWidth="1"/>
    <col min="7941" max="7941" width="7.140625" style="2" customWidth="1"/>
    <col min="7942" max="7942" width="23.28515625" style="2" customWidth="1"/>
    <col min="7943" max="7943" width="11.5703125" style="2" customWidth="1"/>
    <col min="7944" max="7962" width="0" style="2" hidden="1" customWidth="1"/>
    <col min="7963" max="7966" width="9.140625" style="2" customWidth="1"/>
    <col min="7967" max="8192" width="9.140625" style="2"/>
    <col min="8193" max="8193" width="6.140625" style="2" customWidth="1"/>
    <col min="8194" max="8194" width="49.28515625" style="2" customWidth="1"/>
    <col min="8195" max="8195" width="7" style="2" customWidth="1"/>
    <col min="8196" max="8196" width="11" style="2" customWidth="1"/>
    <col min="8197" max="8197" width="7.140625" style="2" customWidth="1"/>
    <col min="8198" max="8198" width="23.28515625" style="2" customWidth="1"/>
    <col min="8199" max="8199" width="11.5703125" style="2" customWidth="1"/>
    <col min="8200" max="8218" width="0" style="2" hidden="1" customWidth="1"/>
    <col min="8219" max="8222" width="9.140625" style="2" customWidth="1"/>
    <col min="8223" max="8448" width="9.140625" style="2"/>
    <col min="8449" max="8449" width="6.140625" style="2" customWidth="1"/>
    <col min="8450" max="8450" width="49.28515625" style="2" customWidth="1"/>
    <col min="8451" max="8451" width="7" style="2" customWidth="1"/>
    <col min="8452" max="8452" width="11" style="2" customWidth="1"/>
    <col min="8453" max="8453" width="7.140625" style="2" customWidth="1"/>
    <col min="8454" max="8454" width="23.28515625" style="2" customWidth="1"/>
    <col min="8455" max="8455" width="11.5703125" style="2" customWidth="1"/>
    <col min="8456" max="8474" width="0" style="2" hidden="1" customWidth="1"/>
    <col min="8475" max="8478" width="9.140625" style="2" customWidth="1"/>
    <col min="8479" max="8704" width="9.140625" style="2"/>
    <col min="8705" max="8705" width="6.140625" style="2" customWidth="1"/>
    <col min="8706" max="8706" width="49.28515625" style="2" customWidth="1"/>
    <col min="8707" max="8707" width="7" style="2" customWidth="1"/>
    <col min="8708" max="8708" width="11" style="2" customWidth="1"/>
    <col min="8709" max="8709" width="7.140625" style="2" customWidth="1"/>
    <col min="8710" max="8710" width="23.28515625" style="2" customWidth="1"/>
    <col min="8711" max="8711" width="11.5703125" style="2" customWidth="1"/>
    <col min="8712" max="8730" width="0" style="2" hidden="1" customWidth="1"/>
    <col min="8731" max="8734" width="9.140625" style="2" customWidth="1"/>
    <col min="8735" max="8960" width="9.140625" style="2"/>
    <col min="8961" max="8961" width="6.140625" style="2" customWidth="1"/>
    <col min="8962" max="8962" width="49.28515625" style="2" customWidth="1"/>
    <col min="8963" max="8963" width="7" style="2" customWidth="1"/>
    <col min="8964" max="8964" width="11" style="2" customWidth="1"/>
    <col min="8965" max="8965" width="7.140625" style="2" customWidth="1"/>
    <col min="8966" max="8966" width="23.28515625" style="2" customWidth="1"/>
    <col min="8967" max="8967" width="11.5703125" style="2" customWidth="1"/>
    <col min="8968" max="8986" width="0" style="2" hidden="1" customWidth="1"/>
    <col min="8987" max="8990" width="9.140625" style="2" customWidth="1"/>
    <col min="8991" max="9216" width="9.140625" style="2"/>
    <col min="9217" max="9217" width="6.140625" style="2" customWidth="1"/>
    <col min="9218" max="9218" width="49.28515625" style="2" customWidth="1"/>
    <col min="9219" max="9219" width="7" style="2" customWidth="1"/>
    <col min="9220" max="9220" width="11" style="2" customWidth="1"/>
    <col min="9221" max="9221" width="7.140625" style="2" customWidth="1"/>
    <col min="9222" max="9222" width="23.28515625" style="2" customWidth="1"/>
    <col min="9223" max="9223" width="11.5703125" style="2" customWidth="1"/>
    <col min="9224" max="9242" width="0" style="2" hidden="1" customWidth="1"/>
    <col min="9243" max="9246" width="9.140625" style="2" customWidth="1"/>
    <col min="9247" max="9472" width="9.140625" style="2"/>
    <col min="9473" max="9473" width="6.140625" style="2" customWidth="1"/>
    <col min="9474" max="9474" width="49.28515625" style="2" customWidth="1"/>
    <col min="9475" max="9475" width="7" style="2" customWidth="1"/>
    <col min="9476" max="9476" width="11" style="2" customWidth="1"/>
    <col min="9477" max="9477" width="7.140625" style="2" customWidth="1"/>
    <col min="9478" max="9478" width="23.28515625" style="2" customWidth="1"/>
    <col min="9479" max="9479" width="11.5703125" style="2" customWidth="1"/>
    <col min="9480" max="9498" width="0" style="2" hidden="1" customWidth="1"/>
    <col min="9499" max="9502" width="9.140625" style="2" customWidth="1"/>
    <col min="9503" max="9728" width="9.140625" style="2"/>
    <col min="9729" max="9729" width="6.140625" style="2" customWidth="1"/>
    <col min="9730" max="9730" width="49.28515625" style="2" customWidth="1"/>
    <col min="9731" max="9731" width="7" style="2" customWidth="1"/>
    <col min="9732" max="9732" width="11" style="2" customWidth="1"/>
    <col min="9733" max="9733" width="7.140625" style="2" customWidth="1"/>
    <col min="9734" max="9734" width="23.28515625" style="2" customWidth="1"/>
    <col min="9735" max="9735" width="11.5703125" style="2" customWidth="1"/>
    <col min="9736" max="9754" width="0" style="2" hidden="1" customWidth="1"/>
    <col min="9755" max="9758" width="9.140625" style="2" customWidth="1"/>
    <col min="9759" max="9984" width="9.140625" style="2"/>
    <col min="9985" max="9985" width="6.140625" style="2" customWidth="1"/>
    <col min="9986" max="9986" width="49.28515625" style="2" customWidth="1"/>
    <col min="9987" max="9987" width="7" style="2" customWidth="1"/>
    <col min="9988" max="9988" width="11" style="2" customWidth="1"/>
    <col min="9989" max="9989" width="7.140625" style="2" customWidth="1"/>
    <col min="9990" max="9990" width="23.28515625" style="2" customWidth="1"/>
    <col min="9991" max="9991" width="11.5703125" style="2" customWidth="1"/>
    <col min="9992" max="10010" width="0" style="2" hidden="1" customWidth="1"/>
    <col min="10011" max="10014" width="9.140625" style="2" customWidth="1"/>
    <col min="10015" max="10240" width="9.140625" style="2"/>
    <col min="10241" max="10241" width="6.140625" style="2" customWidth="1"/>
    <col min="10242" max="10242" width="49.28515625" style="2" customWidth="1"/>
    <col min="10243" max="10243" width="7" style="2" customWidth="1"/>
    <col min="10244" max="10244" width="11" style="2" customWidth="1"/>
    <col min="10245" max="10245" width="7.140625" style="2" customWidth="1"/>
    <col min="10246" max="10246" width="23.28515625" style="2" customWidth="1"/>
    <col min="10247" max="10247" width="11.5703125" style="2" customWidth="1"/>
    <col min="10248" max="10266" width="0" style="2" hidden="1" customWidth="1"/>
    <col min="10267" max="10270" width="9.140625" style="2" customWidth="1"/>
    <col min="10271" max="10496" width="9.140625" style="2"/>
    <col min="10497" max="10497" width="6.140625" style="2" customWidth="1"/>
    <col min="10498" max="10498" width="49.28515625" style="2" customWidth="1"/>
    <col min="10499" max="10499" width="7" style="2" customWidth="1"/>
    <col min="10500" max="10500" width="11" style="2" customWidth="1"/>
    <col min="10501" max="10501" width="7.140625" style="2" customWidth="1"/>
    <col min="10502" max="10502" width="23.28515625" style="2" customWidth="1"/>
    <col min="10503" max="10503" width="11.5703125" style="2" customWidth="1"/>
    <col min="10504" max="10522" width="0" style="2" hidden="1" customWidth="1"/>
    <col min="10523" max="10526" width="9.140625" style="2" customWidth="1"/>
    <col min="10527" max="10752" width="9.140625" style="2"/>
    <col min="10753" max="10753" width="6.140625" style="2" customWidth="1"/>
    <col min="10754" max="10754" width="49.28515625" style="2" customWidth="1"/>
    <col min="10755" max="10755" width="7" style="2" customWidth="1"/>
    <col min="10756" max="10756" width="11" style="2" customWidth="1"/>
    <col min="10757" max="10757" width="7.140625" style="2" customWidth="1"/>
    <col min="10758" max="10758" width="23.28515625" style="2" customWidth="1"/>
    <col min="10759" max="10759" width="11.5703125" style="2" customWidth="1"/>
    <col min="10760" max="10778" width="0" style="2" hidden="1" customWidth="1"/>
    <col min="10779" max="10782" width="9.140625" style="2" customWidth="1"/>
    <col min="10783" max="11008" width="9.140625" style="2"/>
    <col min="11009" max="11009" width="6.140625" style="2" customWidth="1"/>
    <col min="11010" max="11010" width="49.28515625" style="2" customWidth="1"/>
    <col min="11011" max="11011" width="7" style="2" customWidth="1"/>
    <col min="11012" max="11012" width="11" style="2" customWidth="1"/>
    <col min="11013" max="11013" width="7.140625" style="2" customWidth="1"/>
    <col min="11014" max="11014" width="23.28515625" style="2" customWidth="1"/>
    <col min="11015" max="11015" width="11.5703125" style="2" customWidth="1"/>
    <col min="11016" max="11034" width="0" style="2" hidden="1" customWidth="1"/>
    <col min="11035" max="11038" width="9.140625" style="2" customWidth="1"/>
    <col min="11039" max="11264" width="9.140625" style="2"/>
    <col min="11265" max="11265" width="6.140625" style="2" customWidth="1"/>
    <col min="11266" max="11266" width="49.28515625" style="2" customWidth="1"/>
    <col min="11267" max="11267" width="7" style="2" customWidth="1"/>
    <col min="11268" max="11268" width="11" style="2" customWidth="1"/>
    <col min="11269" max="11269" width="7.140625" style="2" customWidth="1"/>
    <col min="11270" max="11270" width="23.28515625" style="2" customWidth="1"/>
    <col min="11271" max="11271" width="11.5703125" style="2" customWidth="1"/>
    <col min="11272" max="11290" width="0" style="2" hidden="1" customWidth="1"/>
    <col min="11291" max="11294" width="9.140625" style="2" customWidth="1"/>
    <col min="11295" max="11520" width="9.140625" style="2"/>
    <col min="11521" max="11521" width="6.140625" style="2" customWidth="1"/>
    <col min="11522" max="11522" width="49.28515625" style="2" customWidth="1"/>
    <col min="11523" max="11523" width="7" style="2" customWidth="1"/>
    <col min="11524" max="11524" width="11" style="2" customWidth="1"/>
    <col min="11525" max="11525" width="7.140625" style="2" customWidth="1"/>
    <col min="11526" max="11526" width="23.28515625" style="2" customWidth="1"/>
    <col min="11527" max="11527" width="11.5703125" style="2" customWidth="1"/>
    <col min="11528" max="11546" width="0" style="2" hidden="1" customWidth="1"/>
    <col min="11547" max="11550" width="9.140625" style="2" customWidth="1"/>
    <col min="11551" max="11776" width="9.140625" style="2"/>
    <col min="11777" max="11777" width="6.140625" style="2" customWidth="1"/>
    <col min="11778" max="11778" width="49.28515625" style="2" customWidth="1"/>
    <col min="11779" max="11779" width="7" style="2" customWidth="1"/>
    <col min="11780" max="11780" width="11" style="2" customWidth="1"/>
    <col min="11781" max="11781" width="7.140625" style="2" customWidth="1"/>
    <col min="11782" max="11782" width="23.28515625" style="2" customWidth="1"/>
    <col min="11783" max="11783" width="11.5703125" style="2" customWidth="1"/>
    <col min="11784" max="11802" width="0" style="2" hidden="1" customWidth="1"/>
    <col min="11803" max="11806" width="9.140625" style="2" customWidth="1"/>
    <col min="11807" max="12032" width="9.140625" style="2"/>
    <col min="12033" max="12033" width="6.140625" style="2" customWidth="1"/>
    <col min="12034" max="12034" width="49.28515625" style="2" customWidth="1"/>
    <col min="12035" max="12035" width="7" style="2" customWidth="1"/>
    <col min="12036" max="12036" width="11" style="2" customWidth="1"/>
    <col min="12037" max="12037" width="7.140625" style="2" customWidth="1"/>
    <col min="12038" max="12038" width="23.28515625" style="2" customWidth="1"/>
    <col min="12039" max="12039" width="11.5703125" style="2" customWidth="1"/>
    <col min="12040" max="12058" width="0" style="2" hidden="1" customWidth="1"/>
    <col min="12059" max="12062" width="9.140625" style="2" customWidth="1"/>
    <col min="12063" max="12288" width="9.140625" style="2"/>
    <col min="12289" max="12289" width="6.140625" style="2" customWidth="1"/>
    <col min="12290" max="12290" width="49.28515625" style="2" customWidth="1"/>
    <col min="12291" max="12291" width="7" style="2" customWidth="1"/>
    <col min="12292" max="12292" width="11" style="2" customWidth="1"/>
    <col min="12293" max="12293" width="7.140625" style="2" customWidth="1"/>
    <col min="12294" max="12294" width="23.28515625" style="2" customWidth="1"/>
    <col min="12295" max="12295" width="11.5703125" style="2" customWidth="1"/>
    <col min="12296" max="12314" width="0" style="2" hidden="1" customWidth="1"/>
    <col min="12315" max="12318" width="9.140625" style="2" customWidth="1"/>
    <col min="12319" max="12544" width="9.140625" style="2"/>
    <col min="12545" max="12545" width="6.140625" style="2" customWidth="1"/>
    <col min="12546" max="12546" width="49.28515625" style="2" customWidth="1"/>
    <col min="12547" max="12547" width="7" style="2" customWidth="1"/>
    <col min="12548" max="12548" width="11" style="2" customWidth="1"/>
    <col min="12549" max="12549" width="7.140625" style="2" customWidth="1"/>
    <col min="12550" max="12550" width="23.28515625" style="2" customWidth="1"/>
    <col min="12551" max="12551" width="11.5703125" style="2" customWidth="1"/>
    <col min="12552" max="12570" width="0" style="2" hidden="1" customWidth="1"/>
    <col min="12571" max="12574" width="9.140625" style="2" customWidth="1"/>
    <col min="12575" max="12800" width="9.140625" style="2"/>
    <col min="12801" max="12801" width="6.140625" style="2" customWidth="1"/>
    <col min="12802" max="12802" width="49.28515625" style="2" customWidth="1"/>
    <col min="12803" max="12803" width="7" style="2" customWidth="1"/>
    <col min="12804" max="12804" width="11" style="2" customWidth="1"/>
    <col min="12805" max="12805" width="7.140625" style="2" customWidth="1"/>
    <col min="12806" max="12806" width="23.28515625" style="2" customWidth="1"/>
    <col min="12807" max="12807" width="11.5703125" style="2" customWidth="1"/>
    <col min="12808" max="12826" width="0" style="2" hidden="1" customWidth="1"/>
    <col min="12827" max="12830" width="9.140625" style="2" customWidth="1"/>
    <col min="12831" max="13056" width="9.140625" style="2"/>
    <col min="13057" max="13057" width="6.140625" style="2" customWidth="1"/>
    <col min="13058" max="13058" width="49.28515625" style="2" customWidth="1"/>
    <col min="13059" max="13059" width="7" style="2" customWidth="1"/>
    <col min="13060" max="13060" width="11" style="2" customWidth="1"/>
    <col min="13061" max="13061" width="7.140625" style="2" customWidth="1"/>
    <col min="13062" max="13062" width="23.28515625" style="2" customWidth="1"/>
    <col min="13063" max="13063" width="11.5703125" style="2" customWidth="1"/>
    <col min="13064" max="13082" width="0" style="2" hidden="1" customWidth="1"/>
    <col min="13083" max="13086" width="9.140625" style="2" customWidth="1"/>
    <col min="13087" max="13312" width="9.140625" style="2"/>
    <col min="13313" max="13313" width="6.140625" style="2" customWidth="1"/>
    <col min="13314" max="13314" width="49.28515625" style="2" customWidth="1"/>
    <col min="13315" max="13315" width="7" style="2" customWidth="1"/>
    <col min="13316" max="13316" width="11" style="2" customWidth="1"/>
    <col min="13317" max="13317" width="7.140625" style="2" customWidth="1"/>
    <col min="13318" max="13318" width="23.28515625" style="2" customWidth="1"/>
    <col min="13319" max="13319" width="11.5703125" style="2" customWidth="1"/>
    <col min="13320" max="13338" width="0" style="2" hidden="1" customWidth="1"/>
    <col min="13339" max="13342" width="9.140625" style="2" customWidth="1"/>
    <col min="13343" max="13568" width="9.140625" style="2"/>
    <col min="13569" max="13569" width="6.140625" style="2" customWidth="1"/>
    <col min="13570" max="13570" width="49.28515625" style="2" customWidth="1"/>
    <col min="13571" max="13571" width="7" style="2" customWidth="1"/>
    <col min="13572" max="13572" width="11" style="2" customWidth="1"/>
    <col min="13573" max="13573" width="7.140625" style="2" customWidth="1"/>
    <col min="13574" max="13574" width="23.28515625" style="2" customWidth="1"/>
    <col min="13575" max="13575" width="11.5703125" style="2" customWidth="1"/>
    <col min="13576" max="13594" width="0" style="2" hidden="1" customWidth="1"/>
    <col min="13595" max="13598" width="9.140625" style="2" customWidth="1"/>
    <col min="13599" max="13824" width="9.140625" style="2"/>
    <col min="13825" max="13825" width="6.140625" style="2" customWidth="1"/>
    <col min="13826" max="13826" width="49.28515625" style="2" customWidth="1"/>
    <col min="13827" max="13827" width="7" style="2" customWidth="1"/>
    <col min="13828" max="13828" width="11" style="2" customWidth="1"/>
    <col min="13829" max="13829" width="7.140625" style="2" customWidth="1"/>
    <col min="13830" max="13830" width="23.28515625" style="2" customWidth="1"/>
    <col min="13831" max="13831" width="11.5703125" style="2" customWidth="1"/>
    <col min="13832" max="13850" width="0" style="2" hidden="1" customWidth="1"/>
    <col min="13851" max="13854" width="9.140625" style="2" customWidth="1"/>
    <col min="13855" max="14080" width="9.140625" style="2"/>
    <col min="14081" max="14081" width="6.140625" style="2" customWidth="1"/>
    <col min="14082" max="14082" width="49.28515625" style="2" customWidth="1"/>
    <col min="14083" max="14083" width="7" style="2" customWidth="1"/>
    <col min="14084" max="14084" width="11" style="2" customWidth="1"/>
    <col min="14085" max="14085" width="7.140625" style="2" customWidth="1"/>
    <col min="14086" max="14086" width="23.28515625" style="2" customWidth="1"/>
    <col min="14087" max="14087" width="11.5703125" style="2" customWidth="1"/>
    <col min="14088" max="14106" width="0" style="2" hidden="1" customWidth="1"/>
    <col min="14107" max="14110" width="9.140625" style="2" customWidth="1"/>
    <col min="14111" max="14336" width="9.140625" style="2"/>
    <col min="14337" max="14337" width="6.140625" style="2" customWidth="1"/>
    <col min="14338" max="14338" width="49.28515625" style="2" customWidth="1"/>
    <col min="14339" max="14339" width="7" style="2" customWidth="1"/>
    <col min="14340" max="14340" width="11" style="2" customWidth="1"/>
    <col min="14341" max="14341" width="7.140625" style="2" customWidth="1"/>
    <col min="14342" max="14342" width="23.28515625" style="2" customWidth="1"/>
    <col min="14343" max="14343" width="11.5703125" style="2" customWidth="1"/>
    <col min="14344" max="14362" width="0" style="2" hidden="1" customWidth="1"/>
    <col min="14363" max="14366" width="9.140625" style="2" customWidth="1"/>
    <col min="14367" max="14592" width="9.140625" style="2"/>
    <col min="14593" max="14593" width="6.140625" style="2" customWidth="1"/>
    <col min="14594" max="14594" width="49.28515625" style="2" customWidth="1"/>
    <col min="14595" max="14595" width="7" style="2" customWidth="1"/>
    <col min="14596" max="14596" width="11" style="2" customWidth="1"/>
    <col min="14597" max="14597" width="7.140625" style="2" customWidth="1"/>
    <col min="14598" max="14598" width="23.28515625" style="2" customWidth="1"/>
    <col min="14599" max="14599" width="11.5703125" style="2" customWidth="1"/>
    <col min="14600" max="14618" width="0" style="2" hidden="1" customWidth="1"/>
    <col min="14619" max="14622" width="9.140625" style="2" customWidth="1"/>
    <col min="14623" max="14848" width="9.140625" style="2"/>
    <col min="14849" max="14849" width="6.140625" style="2" customWidth="1"/>
    <col min="14850" max="14850" width="49.28515625" style="2" customWidth="1"/>
    <col min="14851" max="14851" width="7" style="2" customWidth="1"/>
    <col min="14852" max="14852" width="11" style="2" customWidth="1"/>
    <col min="14853" max="14853" width="7.140625" style="2" customWidth="1"/>
    <col min="14854" max="14854" width="23.28515625" style="2" customWidth="1"/>
    <col min="14855" max="14855" width="11.5703125" style="2" customWidth="1"/>
    <col min="14856" max="14874" width="0" style="2" hidden="1" customWidth="1"/>
    <col min="14875" max="14878" width="9.140625" style="2" customWidth="1"/>
    <col min="14879" max="15104" width="9.140625" style="2"/>
    <col min="15105" max="15105" width="6.140625" style="2" customWidth="1"/>
    <col min="15106" max="15106" width="49.28515625" style="2" customWidth="1"/>
    <col min="15107" max="15107" width="7" style="2" customWidth="1"/>
    <col min="15108" max="15108" width="11" style="2" customWidth="1"/>
    <col min="15109" max="15109" width="7.140625" style="2" customWidth="1"/>
    <col min="15110" max="15110" width="23.28515625" style="2" customWidth="1"/>
    <col min="15111" max="15111" width="11.5703125" style="2" customWidth="1"/>
    <col min="15112" max="15130" width="0" style="2" hidden="1" customWidth="1"/>
    <col min="15131" max="15134" width="9.140625" style="2" customWidth="1"/>
    <col min="15135" max="15360" width="9.140625" style="2"/>
    <col min="15361" max="15361" width="6.140625" style="2" customWidth="1"/>
    <col min="15362" max="15362" width="49.28515625" style="2" customWidth="1"/>
    <col min="15363" max="15363" width="7" style="2" customWidth="1"/>
    <col min="15364" max="15364" width="11" style="2" customWidth="1"/>
    <col min="15365" max="15365" width="7.140625" style="2" customWidth="1"/>
    <col min="15366" max="15366" width="23.28515625" style="2" customWidth="1"/>
    <col min="15367" max="15367" width="11.5703125" style="2" customWidth="1"/>
    <col min="15368" max="15386" width="0" style="2" hidden="1" customWidth="1"/>
    <col min="15387" max="15390" width="9.140625" style="2" customWidth="1"/>
    <col min="15391" max="15616" width="9.140625" style="2"/>
    <col min="15617" max="15617" width="6.140625" style="2" customWidth="1"/>
    <col min="15618" max="15618" width="49.28515625" style="2" customWidth="1"/>
    <col min="15619" max="15619" width="7" style="2" customWidth="1"/>
    <col min="15620" max="15620" width="11" style="2" customWidth="1"/>
    <col min="15621" max="15621" width="7.140625" style="2" customWidth="1"/>
    <col min="15622" max="15622" width="23.28515625" style="2" customWidth="1"/>
    <col min="15623" max="15623" width="11.5703125" style="2" customWidth="1"/>
    <col min="15624" max="15642" width="0" style="2" hidden="1" customWidth="1"/>
    <col min="15643" max="15646" width="9.140625" style="2" customWidth="1"/>
    <col min="15647" max="15872" width="9.140625" style="2"/>
    <col min="15873" max="15873" width="6.140625" style="2" customWidth="1"/>
    <col min="15874" max="15874" width="49.28515625" style="2" customWidth="1"/>
    <col min="15875" max="15875" width="7" style="2" customWidth="1"/>
    <col min="15876" max="15876" width="11" style="2" customWidth="1"/>
    <col min="15877" max="15877" width="7.140625" style="2" customWidth="1"/>
    <col min="15878" max="15878" width="23.28515625" style="2" customWidth="1"/>
    <col min="15879" max="15879" width="11.5703125" style="2" customWidth="1"/>
    <col min="15880" max="15898" width="0" style="2" hidden="1" customWidth="1"/>
    <col min="15899" max="15902" width="9.140625" style="2" customWidth="1"/>
    <col min="15903" max="16128" width="9.140625" style="2"/>
    <col min="16129" max="16129" width="6.140625" style="2" customWidth="1"/>
    <col min="16130" max="16130" width="49.28515625" style="2" customWidth="1"/>
    <col min="16131" max="16131" width="7" style="2" customWidth="1"/>
    <col min="16132" max="16132" width="11" style="2" customWidth="1"/>
    <col min="16133" max="16133" width="7.140625" style="2" customWidth="1"/>
    <col min="16134" max="16134" width="23.28515625" style="2" customWidth="1"/>
    <col min="16135" max="16135" width="11.5703125" style="2" customWidth="1"/>
    <col min="16136" max="16154" width="0" style="2" hidden="1" customWidth="1"/>
    <col min="16155" max="16158" width="9.140625" style="2" customWidth="1"/>
    <col min="16159" max="16384" width="9.140625" style="2"/>
  </cols>
  <sheetData>
    <row r="1" spans="1:13" ht="19.5" thickBot="1">
      <c r="A1" s="175" t="s">
        <v>12</v>
      </c>
      <c r="B1" s="175"/>
      <c r="C1" s="175"/>
      <c r="D1" s="176"/>
      <c r="E1" s="177"/>
      <c r="F1" s="177"/>
      <c r="G1" s="178"/>
      <c r="I1" s="3" t="s">
        <v>13</v>
      </c>
      <c r="J1" s="4" t="s">
        <v>14</v>
      </c>
    </row>
    <row r="2" spans="1:13" ht="19.5" thickBot="1">
      <c r="A2" s="5"/>
      <c r="B2" s="175" t="s">
        <v>15</v>
      </c>
      <c r="C2" s="179"/>
      <c r="D2" s="180"/>
      <c r="E2" s="181"/>
      <c r="F2" s="181"/>
      <c r="G2" s="182"/>
      <c r="I2" s="3" t="s">
        <v>16</v>
      </c>
      <c r="J2" s="4" t="s">
        <v>17</v>
      </c>
    </row>
    <row r="3" spans="1:13" ht="13.5" thickBot="1">
      <c r="I3" s="3" t="s">
        <v>18</v>
      </c>
      <c r="J3" s="4" t="s">
        <v>19</v>
      </c>
    </row>
    <row r="4" spans="1:13" ht="18" customHeight="1" thickBot="1">
      <c r="B4" s="6" t="s">
        <v>1</v>
      </c>
      <c r="C4" s="183"/>
      <c r="D4" s="184"/>
      <c r="E4" s="184"/>
      <c r="F4" s="184"/>
      <c r="G4" s="185"/>
      <c r="I4" s="3" t="s">
        <v>20</v>
      </c>
      <c r="J4" s="4" t="s">
        <v>21</v>
      </c>
    </row>
    <row r="5" spans="1:13" ht="15.75" customHeight="1">
      <c r="B5" s="7"/>
      <c r="C5" s="8"/>
      <c r="M5" s="7"/>
    </row>
    <row r="6" spans="1:13" ht="4.5" customHeight="1"/>
    <row r="7" spans="1:13">
      <c r="A7" s="38" t="s">
        <v>22</v>
      </c>
      <c r="B7" s="39" t="s">
        <v>23</v>
      </c>
      <c r="C7" s="38" t="s">
        <v>24</v>
      </c>
      <c r="D7" s="38" t="s">
        <v>25</v>
      </c>
      <c r="E7" s="38" t="s">
        <v>26</v>
      </c>
      <c r="F7" s="38" t="s">
        <v>27</v>
      </c>
      <c r="G7" s="40" t="s">
        <v>28</v>
      </c>
    </row>
    <row r="8" spans="1:13" ht="14.25">
      <c r="A8" s="9">
        <v>1</v>
      </c>
      <c r="B8" s="156"/>
      <c r="C8" s="9">
        <v>1</v>
      </c>
      <c r="D8" s="10"/>
      <c r="E8" s="9">
        <v>1</v>
      </c>
      <c r="F8" s="11"/>
      <c r="G8" s="9">
        <f t="shared" ref="G8:G32" si="0">ROUNDUP(C8*D8*E8,0)</f>
        <v>0</v>
      </c>
    </row>
    <row r="9" spans="1:13" ht="14.25">
      <c r="A9" s="9">
        <v>2</v>
      </c>
      <c r="B9" s="156"/>
      <c r="C9" s="9">
        <v>1</v>
      </c>
      <c r="D9" s="10"/>
      <c r="E9" s="9">
        <v>1</v>
      </c>
      <c r="F9" s="11"/>
      <c r="G9" s="9">
        <f t="shared" si="0"/>
        <v>0</v>
      </c>
    </row>
    <row r="10" spans="1:13" ht="14.25">
      <c r="A10" s="9">
        <v>3</v>
      </c>
      <c r="B10" s="156"/>
      <c r="C10" s="9">
        <v>1</v>
      </c>
      <c r="D10" s="10"/>
      <c r="E10" s="9">
        <v>1</v>
      </c>
      <c r="F10" s="11"/>
      <c r="G10" s="9">
        <f t="shared" si="0"/>
        <v>0</v>
      </c>
    </row>
    <row r="11" spans="1:13" s="31" customFormat="1" ht="14.25">
      <c r="A11" s="28">
        <v>4</v>
      </c>
      <c r="B11" s="157"/>
      <c r="C11" s="9">
        <v>1</v>
      </c>
      <c r="D11" s="29"/>
      <c r="E11" s="28">
        <v>1</v>
      </c>
      <c r="F11" s="30"/>
      <c r="G11" s="28">
        <f t="shared" si="0"/>
        <v>0</v>
      </c>
    </row>
    <row r="12" spans="1:13" s="32" customFormat="1" ht="14.25">
      <c r="A12" s="28">
        <v>5</v>
      </c>
      <c r="B12" s="157"/>
      <c r="C12" s="9">
        <v>1</v>
      </c>
      <c r="D12" s="29"/>
      <c r="E12" s="28">
        <v>1</v>
      </c>
      <c r="F12" s="30"/>
      <c r="G12" s="28">
        <f t="shared" si="0"/>
        <v>0</v>
      </c>
    </row>
    <row r="13" spans="1:13" ht="14.25">
      <c r="A13" s="9">
        <v>6</v>
      </c>
      <c r="B13" s="156"/>
      <c r="C13" s="9">
        <v>1</v>
      </c>
      <c r="D13" s="10"/>
      <c r="E13" s="9">
        <v>1</v>
      </c>
      <c r="F13" s="11"/>
      <c r="G13" s="9">
        <f t="shared" si="0"/>
        <v>0</v>
      </c>
    </row>
    <row r="14" spans="1:13" ht="14.25">
      <c r="A14" s="9">
        <v>7</v>
      </c>
      <c r="B14" s="156"/>
      <c r="C14" s="9">
        <v>1</v>
      </c>
      <c r="D14" s="10"/>
      <c r="E14" s="9">
        <v>1</v>
      </c>
      <c r="F14" s="11"/>
      <c r="G14" s="9">
        <f t="shared" si="0"/>
        <v>0</v>
      </c>
    </row>
    <row r="15" spans="1:13" ht="14.25">
      <c r="A15" s="9">
        <v>8</v>
      </c>
      <c r="B15" s="156"/>
      <c r="C15" s="9">
        <v>1</v>
      </c>
      <c r="D15" s="10"/>
      <c r="E15" s="9">
        <v>1</v>
      </c>
      <c r="F15" s="11"/>
      <c r="G15" s="9">
        <f t="shared" si="0"/>
        <v>0</v>
      </c>
    </row>
    <row r="16" spans="1:13" ht="14.25">
      <c r="A16" s="9">
        <v>9</v>
      </c>
      <c r="B16" s="156"/>
      <c r="C16" s="9">
        <v>1</v>
      </c>
      <c r="D16" s="10"/>
      <c r="E16" s="9">
        <v>1</v>
      </c>
      <c r="F16" s="11"/>
      <c r="G16" s="9">
        <f t="shared" si="0"/>
        <v>0</v>
      </c>
    </row>
    <row r="17" spans="1:7" ht="14.25">
      <c r="A17" s="9">
        <v>10</v>
      </c>
      <c r="B17" s="156"/>
      <c r="C17" s="9">
        <v>1</v>
      </c>
      <c r="D17" s="10"/>
      <c r="E17" s="9">
        <v>1</v>
      </c>
      <c r="F17" s="11"/>
      <c r="G17" s="9">
        <f t="shared" si="0"/>
        <v>0</v>
      </c>
    </row>
    <row r="18" spans="1:7" ht="14.25">
      <c r="A18" s="9">
        <v>11</v>
      </c>
      <c r="B18" s="156"/>
      <c r="C18" s="9">
        <v>1</v>
      </c>
      <c r="D18" s="10"/>
      <c r="E18" s="9">
        <v>1</v>
      </c>
      <c r="F18" s="11"/>
      <c r="G18" s="9">
        <f t="shared" si="0"/>
        <v>0</v>
      </c>
    </row>
    <row r="19" spans="1:7" ht="14.25">
      <c r="A19" s="9">
        <v>12</v>
      </c>
      <c r="B19" s="156"/>
      <c r="C19" s="9">
        <v>1</v>
      </c>
      <c r="D19" s="10"/>
      <c r="E19" s="9">
        <v>1</v>
      </c>
      <c r="F19" s="11"/>
      <c r="G19" s="9">
        <f t="shared" si="0"/>
        <v>0</v>
      </c>
    </row>
    <row r="20" spans="1:7" ht="14.25">
      <c r="A20" s="9">
        <v>13</v>
      </c>
      <c r="B20" s="156"/>
      <c r="C20" s="9">
        <v>1</v>
      </c>
      <c r="D20" s="10"/>
      <c r="E20" s="9">
        <v>1</v>
      </c>
      <c r="F20" s="11"/>
      <c r="G20" s="9">
        <f t="shared" si="0"/>
        <v>0</v>
      </c>
    </row>
    <row r="21" spans="1:7" ht="14.25">
      <c r="A21" s="9">
        <v>14</v>
      </c>
      <c r="B21" s="156"/>
      <c r="C21" s="9">
        <v>1</v>
      </c>
      <c r="D21" s="10"/>
      <c r="E21" s="9">
        <v>1</v>
      </c>
      <c r="F21" s="11"/>
      <c r="G21" s="9">
        <f t="shared" si="0"/>
        <v>0</v>
      </c>
    </row>
    <row r="22" spans="1:7" ht="14.25">
      <c r="A22" s="9">
        <v>15</v>
      </c>
      <c r="B22" s="156"/>
      <c r="C22" s="9">
        <v>1</v>
      </c>
      <c r="D22" s="10"/>
      <c r="E22" s="9">
        <v>1</v>
      </c>
      <c r="F22" s="11"/>
      <c r="G22" s="9">
        <f t="shared" si="0"/>
        <v>0</v>
      </c>
    </row>
    <row r="23" spans="1:7" ht="14.25">
      <c r="A23" s="9">
        <v>16</v>
      </c>
      <c r="B23" s="156"/>
      <c r="C23" s="9">
        <v>1</v>
      </c>
      <c r="D23" s="10"/>
      <c r="E23" s="9">
        <v>1</v>
      </c>
      <c r="F23" s="11"/>
      <c r="G23" s="9">
        <f t="shared" si="0"/>
        <v>0</v>
      </c>
    </row>
    <row r="24" spans="1:7" ht="14.25">
      <c r="A24" s="9">
        <v>17</v>
      </c>
      <c r="B24" s="156"/>
      <c r="C24" s="9">
        <v>1</v>
      </c>
      <c r="D24" s="10"/>
      <c r="E24" s="9">
        <v>1</v>
      </c>
      <c r="F24" s="11"/>
      <c r="G24" s="9">
        <f t="shared" si="0"/>
        <v>0</v>
      </c>
    </row>
    <row r="25" spans="1:7" ht="14.25">
      <c r="A25" s="9">
        <v>18</v>
      </c>
      <c r="B25" s="156"/>
      <c r="C25" s="9">
        <v>1</v>
      </c>
      <c r="D25" s="10"/>
      <c r="E25" s="9">
        <v>1</v>
      </c>
      <c r="F25" s="11"/>
      <c r="G25" s="9">
        <f t="shared" si="0"/>
        <v>0</v>
      </c>
    </row>
    <row r="26" spans="1:7" ht="14.25">
      <c r="A26" s="9">
        <v>19</v>
      </c>
      <c r="B26" s="156"/>
      <c r="C26" s="9">
        <v>1</v>
      </c>
      <c r="D26" s="10"/>
      <c r="E26" s="9">
        <v>1</v>
      </c>
      <c r="F26" s="11"/>
      <c r="G26" s="9">
        <f t="shared" si="0"/>
        <v>0</v>
      </c>
    </row>
    <row r="27" spans="1:7" ht="14.25">
      <c r="A27" s="9">
        <v>20</v>
      </c>
      <c r="B27" s="156"/>
      <c r="C27" s="9">
        <v>1</v>
      </c>
      <c r="D27" s="10"/>
      <c r="E27" s="9">
        <v>1</v>
      </c>
      <c r="F27" s="11"/>
      <c r="G27" s="9">
        <f t="shared" si="0"/>
        <v>0</v>
      </c>
    </row>
    <row r="28" spans="1:7" ht="14.25">
      <c r="A28" s="9">
        <v>21</v>
      </c>
      <c r="B28" s="156"/>
      <c r="C28" s="9">
        <v>1</v>
      </c>
      <c r="D28" s="10"/>
      <c r="E28" s="9">
        <v>1</v>
      </c>
      <c r="F28" s="11"/>
      <c r="G28" s="9">
        <f t="shared" si="0"/>
        <v>0</v>
      </c>
    </row>
    <row r="29" spans="1:7" ht="14.25">
      <c r="A29" s="9">
        <v>22</v>
      </c>
      <c r="B29" s="156"/>
      <c r="C29" s="9">
        <v>1</v>
      </c>
      <c r="D29" s="10"/>
      <c r="E29" s="9">
        <v>1</v>
      </c>
      <c r="F29" s="11"/>
      <c r="G29" s="9">
        <f t="shared" si="0"/>
        <v>0</v>
      </c>
    </row>
    <row r="30" spans="1:7" ht="14.25">
      <c r="A30" s="9">
        <v>23</v>
      </c>
      <c r="B30" s="156"/>
      <c r="C30" s="9">
        <v>1</v>
      </c>
      <c r="D30" s="10"/>
      <c r="E30" s="9">
        <v>1</v>
      </c>
      <c r="F30" s="11"/>
      <c r="G30" s="9">
        <f t="shared" si="0"/>
        <v>0</v>
      </c>
    </row>
    <row r="31" spans="1:7" ht="14.25">
      <c r="A31" s="9">
        <v>24</v>
      </c>
      <c r="B31" s="156"/>
      <c r="C31" s="9">
        <v>1</v>
      </c>
      <c r="D31" s="10"/>
      <c r="E31" s="9">
        <v>1</v>
      </c>
      <c r="F31" s="11"/>
      <c r="G31" s="9">
        <f t="shared" si="0"/>
        <v>0</v>
      </c>
    </row>
    <row r="32" spans="1:7" ht="15" thickBot="1">
      <c r="A32" s="12">
        <v>25</v>
      </c>
      <c r="B32" s="158"/>
      <c r="C32" s="12">
        <v>1</v>
      </c>
      <c r="D32" s="13"/>
      <c r="E32" s="12">
        <v>1</v>
      </c>
      <c r="F32" s="11"/>
      <c r="G32" s="9">
        <f t="shared" si="0"/>
        <v>0</v>
      </c>
    </row>
    <row r="33" spans="1:20" ht="15" thickBot="1">
      <c r="A33" s="11"/>
      <c r="B33" s="11"/>
      <c r="C33" s="11"/>
      <c r="D33" s="14"/>
      <c r="E33" s="11"/>
      <c r="F33" s="41" t="s">
        <v>29</v>
      </c>
      <c r="G33" s="41">
        <f>SUM(G8:G32)</f>
        <v>0</v>
      </c>
      <c r="T33" s="2">
        <f>G33</f>
        <v>0</v>
      </c>
    </row>
    <row r="34" spans="1:20" ht="15" thickBot="1">
      <c r="A34" s="11"/>
      <c r="B34" s="11"/>
      <c r="C34" s="11"/>
      <c r="D34" s="14"/>
      <c r="E34" s="11"/>
      <c r="F34" s="15"/>
      <c r="G34" s="16"/>
    </row>
    <row r="35" spans="1:20" ht="13.5" thickBot="1">
      <c r="A35" s="42" t="s">
        <v>22</v>
      </c>
      <c r="B35" s="42" t="s">
        <v>9</v>
      </c>
      <c r="C35" s="42" t="s">
        <v>24</v>
      </c>
      <c r="D35" s="43" t="s">
        <v>25</v>
      </c>
      <c r="E35" s="42" t="s">
        <v>26</v>
      </c>
      <c r="F35" s="42" t="s">
        <v>27</v>
      </c>
      <c r="G35" s="42" t="s">
        <v>30</v>
      </c>
    </row>
    <row r="36" spans="1:20" ht="14.25">
      <c r="A36" s="17">
        <v>15</v>
      </c>
      <c r="B36" s="17"/>
      <c r="C36" s="17">
        <v>1</v>
      </c>
      <c r="D36" s="18"/>
      <c r="E36" s="17">
        <v>1</v>
      </c>
      <c r="F36" s="19"/>
      <c r="G36" s="17">
        <f t="shared" ref="G36:G66" si="1">ROUNDUP(C36*D36*E36,0)</f>
        <v>0</v>
      </c>
    </row>
    <row r="37" spans="1:20" ht="14.25">
      <c r="A37" s="9">
        <v>16</v>
      </c>
      <c r="B37" s="9"/>
      <c r="C37" s="17">
        <v>1</v>
      </c>
      <c r="D37" s="10"/>
      <c r="E37" s="9">
        <v>1</v>
      </c>
      <c r="F37" s="11"/>
      <c r="G37" s="9">
        <f t="shared" si="1"/>
        <v>0</v>
      </c>
    </row>
    <row r="38" spans="1:20" ht="14.25">
      <c r="A38" s="9">
        <v>17</v>
      </c>
      <c r="B38" s="9"/>
      <c r="C38" s="17">
        <v>1</v>
      </c>
      <c r="D38" s="10"/>
      <c r="E38" s="9">
        <v>1</v>
      </c>
      <c r="F38" s="11"/>
      <c r="G38" s="9">
        <f t="shared" si="1"/>
        <v>0</v>
      </c>
    </row>
    <row r="39" spans="1:20" ht="14.25">
      <c r="A39" s="9">
        <v>18</v>
      </c>
      <c r="B39" s="20"/>
      <c r="C39" s="17">
        <v>1</v>
      </c>
      <c r="D39" s="10"/>
      <c r="E39" s="9">
        <v>1</v>
      </c>
      <c r="F39" s="11"/>
      <c r="G39" s="9">
        <f t="shared" si="1"/>
        <v>0</v>
      </c>
    </row>
    <row r="40" spans="1:20" ht="14.25">
      <c r="A40" s="9">
        <v>19</v>
      </c>
      <c r="B40" s="20"/>
      <c r="C40" s="17">
        <v>1</v>
      </c>
      <c r="D40" s="10"/>
      <c r="E40" s="9">
        <v>1</v>
      </c>
      <c r="F40" s="11"/>
      <c r="G40" s="9">
        <f t="shared" si="1"/>
        <v>0</v>
      </c>
    </row>
    <row r="41" spans="1:20" ht="14.25">
      <c r="A41" s="9">
        <v>20</v>
      </c>
      <c r="B41" s="20"/>
      <c r="C41" s="17">
        <v>1</v>
      </c>
      <c r="D41" s="10"/>
      <c r="E41" s="9">
        <v>1</v>
      </c>
      <c r="F41" s="11"/>
      <c r="G41" s="9">
        <f t="shared" si="1"/>
        <v>0</v>
      </c>
    </row>
    <row r="42" spans="1:20" ht="14.25">
      <c r="A42" s="9">
        <v>21</v>
      </c>
      <c r="B42" s="9"/>
      <c r="C42" s="17">
        <v>1</v>
      </c>
      <c r="D42" s="10"/>
      <c r="E42" s="9">
        <v>1</v>
      </c>
      <c r="F42" s="11"/>
      <c r="G42" s="9">
        <f t="shared" si="1"/>
        <v>0</v>
      </c>
    </row>
    <row r="43" spans="1:20" ht="14.25">
      <c r="A43" s="9">
        <v>22</v>
      </c>
      <c r="B43" s="9"/>
      <c r="C43" s="17">
        <v>1</v>
      </c>
      <c r="D43" s="10"/>
      <c r="E43" s="9">
        <v>1</v>
      </c>
      <c r="F43" s="11"/>
      <c r="G43" s="9">
        <f t="shared" si="1"/>
        <v>0</v>
      </c>
    </row>
    <row r="44" spans="1:20" ht="14.25">
      <c r="A44" s="9">
        <v>23</v>
      </c>
      <c r="B44" s="9"/>
      <c r="C44" s="17">
        <v>1</v>
      </c>
      <c r="D44" s="10"/>
      <c r="E44" s="9">
        <v>1</v>
      </c>
      <c r="F44" s="11"/>
      <c r="G44" s="9">
        <f t="shared" si="1"/>
        <v>0</v>
      </c>
    </row>
    <row r="45" spans="1:20" ht="14.25">
      <c r="A45" s="9">
        <v>24</v>
      </c>
      <c r="B45" s="9"/>
      <c r="C45" s="17">
        <v>1</v>
      </c>
      <c r="D45" s="10"/>
      <c r="E45" s="9">
        <v>1</v>
      </c>
      <c r="F45" s="11"/>
      <c r="G45" s="9">
        <f t="shared" si="1"/>
        <v>0</v>
      </c>
    </row>
    <row r="46" spans="1:20" ht="14.25">
      <c r="A46" s="9">
        <v>25</v>
      </c>
      <c r="B46" s="9"/>
      <c r="C46" s="17">
        <v>1</v>
      </c>
      <c r="D46" s="10"/>
      <c r="E46" s="9">
        <v>1</v>
      </c>
      <c r="F46" s="11"/>
      <c r="G46" s="9">
        <f t="shared" si="1"/>
        <v>0</v>
      </c>
    </row>
    <row r="47" spans="1:20" ht="14.25">
      <c r="A47" s="9">
        <v>26</v>
      </c>
      <c r="B47" s="20"/>
      <c r="C47" s="17">
        <v>1</v>
      </c>
      <c r="D47" s="10"/>
      <c r="E47" s="9">
        <v>1</v>
      </c>
      <c r="F47" s="11"/>
      <c r="G47" s="9">
        <f t="shared" si="1"/>
        <v>0</v>
      </c>
    </row>
    <row r="48" spans="1:20" ht="14.25">
      <c r="A48" s="9">
        <v>27</v>
      </c>
      <c r="B48" s="9"/>
      <c r="C48" s="17">
        <v>1</v>
      </c>
      <c r="D48" s="10"/>
      <c r="E48" s="9">
        <v>1</v>
      </c>
      <c r="F48" s="11"/>
      <c r="G48" s="9">
        <f t="shared" si="1"/>
        <v>0</v>
      </c>
    </row>
    <row r="49" spans="1:7" ht="14.25">
      <c r="A49" s="9">
        <v>28</v>
      </c>
      <c r="B49" s="9"/>
      <c r="C49" s="17">
        <v>1</v>
      </c>
      <c r="D49" s="10"/>
      <c r="E49" s="9">
        <v>1</v>
      </c>
      <c r="F49" s="11"/>
      <c r="G49" s="9">
        <f t="shared" si="1"/>
        <v>0</v>
      </c>
    </row>
    <row r="50" spans="1:7" ht="14.25">
      <c r="A50" s="9">
        <v>29</v>
      </c>
      <c r="B50" s="21"/>
      <c r="C50" s="17">
        <v>1</v>
      </c>
      <c r="D50" s="10"/>
      <c r="E50" s="9">
        <v>1</v>
      </c>
      <c r="F50" s="11"/>
      <c r="G50" s="9">
        <f t="shared" si="1"/>
        <v>0</v>
      </c>
    </row>
    <row r="51" spans="1:7" ht="14.25">
      <c r="A51" s="9">
        <v>30</v>
      </c>
      <c r="B51" s="21"/>
      <c r="C51" s="17">
        <v>1</v>
      </c>
      <c r="D51" s="10"/>
      <c r="E51" s="9">
        <v>1</v>
      </c>
      <c r="F51" s="11"/>
      <c r="G51" s="9">
        <f t="shared" si="1"/>
        <v>0</v>
      </c>
    </row>
    <row r="52" spans="1:7" ht="14.25">
      <c r="A52" s="9">
        <v>31</v>
      </c>
      <c r="B52" s="21"/>
      <c r="C52" s="17">
        <v>1</v>
      </c>
      <c r="D52" s="10"/>
      <c r="E52" s="9">
        <v>1</v>
      </c>
      <c r="F52" s="11"/>
      <c r="G52" s="9">
        <f t="shared" si="1"/>
        <v>0</v>
      </c>
    </row>
    <row r="53" spans="1:7" ht="14.25">
      <c r="A53" s="9">
        <v>32</v>
      </c>
      <c r="B53" s="21"/>
      <c r="C53" s="17">
        <v>1</v>
      </c>
      <c r="D53" s="10"/>
      <c r="E53" s="9">
        <v>1</v>
      </c>
      <c r="F53" s="11"/>
      <c r="G53" s="9">
        <f t="shared" si="1"/>
        <v>0</v>
      </c>
    </row>
    <row r="54" spans="1:7" ht="14.25">
      <c r="A54" s="9">
        <v>33</v>
      </c>
      <c r="B54" s="21"/>
      <c r="C54" s="17">
        <v>1</v>
      </c>
      <c r="D54" s="10"/>
      <c r="E54" s="9">
        <v>1</v>
      </c>
      <c r="F54" s="11"/>
      <c r="G54" s="9">
        <f t="shared" si="1"/>
        <v>0</v>
      </c>
    </row>
    <row r="55" spans="1:7" ht="14.25">
      <c r="A55" s="9">
        <v>34</v>
      </c>
      <c r="B55" s="21"/>
      <c r="C55" s="17">
        <v>1</v>
      </c>
      <c r="D55" s="10"/>
      <c r="E55" s="9">
        <v>1</v>
      </c>
      <c r="F55" s="11"/>
      <c r="G55" s="9">
        <f t="shared" si="1"/>
        <v>0</v>
      </c>
    </row>
    <row r="56" spans="1:7" ht="14.25">
      <c r="A56" s="9">
        <v>35</v>
      </c>
      <c r="B56" s="21"/>
      <c r="C56" s="17">
        <v>1</v>
      </c>
      <c r="D56" s="10"/>
      <c r="E56" s="9">
        <v>1</v>
      </c>
      <c r="F56" s="11"/>
      <c r="G56" s="9">
        <f t="shared" si="1"/>
        <v>0</v>
      </c>
    </row>
    <row r="57" spans="1:7" ht="14.25">
      <c r="A57" s="9">
        <v>36</v>
      </c>
      <c r="B57" s="21"/>
      <c r="C57" s="17">
        <v>1</v>
      </c>
      <c r="D57" s="10"/>
      <c r="E57" s="9">
        <v>1</v>
      </c>
      <c r="F57" s="11"/>
      <c r="G57" s="9">
        <f t="shared" si="1"/>
        <v>0</v>
      </c>
    </row>
    <row r="58" spans="1:7" ht="14.25">
      <c r="A58" s="9">
        <v>37</v>
      </c>
      <c r="B58" s="21"/>
      <c r="C58" s="9">
        <v>1</v>
      </c>
      <c r="D58" s="10"/>
      <c r="E58" s="9">
        <v>1</v>
      </c>
      <c r="F58" s="11"/>
      <c r="G58" s="9">
        <f t="shared" si="1"/>
        <v>0</v>
      </c>
    </row>
    <row r="59" spans="1:7" ht="14.25">
      <c r="A59" s="9">
        <v>38</v>
      </c>
      <c r="B59" s="21"/>
      <c r="C59" s="9">
        <v>1</v>
      </c>
      <c r="D59" s="10"/>
      <c r="E59" s="9">
        <v>1</v>
      </c>
      <c r="F59" s="11"/>
      <c r="G59" s="9">
        <f t="shared" si="1"/>
        <v>0</v>
      </c>
    </row>
    <row r="60" spans="1:7" ht="14.25">
      <c r="A60" s="9">
        <v>39</v>
      </c>
      <c r="B60" s="21"/>
      <c r="C60" s="9">
        <v>1</v>
      </c>
      <c r="D60" s="10"/>
      <c r="E60" s="9">
        <v>1</v>
      </c>
      <c r="F60" s="11"/>
      <c r="G60" s="9">
        <f t="shared" si="1"/>
        <v>0</v>
      </c>
    </row>
    <row r="61" spans="1:7" ht="14.25">
      <c r="A61" s="9">
        <v>40</v>
      </c>
      <c r="B61" s="21"/>
      <c r="C61" s="9">
        <v>1</v>
      </c>
      <c r="D61" s="10"/>
      <c r="E61" s="9">
        <v>1</v>
      </c>
      <c r="F61" s="11"/>
      <c r="G61" s="9">
        <f t="shared" si="1"/>
        <v>0</v>
      </c>
    </row>
    <row r="62" spans="1:7" ht="14.25">
      <c r="A62" s="9">
        <v>41</v>
      </c>
      <c r="B62" s="21"/>
      <c r="C62" s="9">
        <v>1</v>
      </c>
      <c r="D62" s="10"/>
      <c r="E62" s="9">
        <v>1</v>
      </c>
      <c r="F62" s="11"/>
      <c r="G62" s="9">
        <f t="shared" si="1"/>
        <v>0</v>
      </c>
    </row>
    <row r="63" spans="1:7" ht="14.25">
      <c r="A63" s="9">
        <v>42</v>
      </c>
      <c r="B63" s="21"/>
      <c r="C63" s="9">
        <v>1</v>
      </c>
      <c r="D63" s="10"/>
      <c r="E63" s="9">
        <v>1</v>
      </c>
      <c r="F63" s="11"/>
      <c r="G63" s="9">
        <f t="shared" si="1"/>
        <v>0</v>
      </c>
    </row>
    <row r="64" spans="1:7" ht="14.25">
      <c r="A64" s="9">
        <v>43</v>
      </c>
      <c r="B64" s="21"/>
      <c r="C64" s="9">
        <v>1</v>
      </c>
      <c r="D64" s="10"/>
      <c r="E64" s="9">
        <v>1</v>
      </c>
      <c r="F64" s="11"/>
      <c r="G64" s="9">
        <f t="shared" si="1"/>
        <v>0</v>
      </c>
    </row>
    <row r="65" spans="1:20" ht="14.25">
      <c r="A65" s="9">
        <v>44</v>
      </c>
      <c r="B65" s="21"/>
      <c r="C65" s="9">
        <v>1</v>
      </c>
      <c r="D65" s="10"/>
      <c r="E65" s="9">
        <v>1</v>
      </c>
      <c r="F65" s="11"/>
      <c r="G65" s="9">
        <f t="shared" si="1"/>
        <v>0</v>
      </c>
    </row>
    <row r="66" spans="1:20" ht="15" thickBot="1">
      <c r="A66" s="12">
        <v>45</v>
      </c>
      <c r="B66" s="12"/>
      <c r="C66" s="12">
        <v>1</v>
      </c>
      <c r="D66" s="13"/>
      <c r="E66" s="12">
        <v>1</v>
      </c>
      <c r="F66" s="11"/>
      <c r="G66" s="9">
        <f t="shared" si="1"/>
        <v>0</v>
      </c>
    </row>
    <row r="67" spans="1:20" ht="15.75" thickBot="1">
      <c r="A67" s="22"/>
      <c r="B67" s="22"/>
      <c r="C67" s="22"/>
      <c r="D67" s="23"/>
      <c r="E67" s="22"/>
      <c r="F67" s="44" t="s">
        <v>29</v>
      </c>
      <c r="G67" s="44">
        <f>SUM(G36:G66)</f>
        <v>0</v>
      </c>
      <c r="T67" s="2">
        <f>G67</f>
        <v>0</v>
      </c>
    </row>
    <row r="68" spans="1:20" ht="15.75" thickBot="1">
      <c r="A68" s="22"/>
      <c r="B68" s="22"/>
      <c r="C68" s="22"/>
      <c r="D68" s="23"/>
      <c r="E68" s="22"/>
      <c r="F68" s="22"/>
      <c r="G68" s="24"/>
    </row>
    <row r="69" spans="1:20" ht="15.75" thickBot="1">
      <c r="A69" s="22"/>
      <c r="B69" s="22"/>
      <c r="C69" s="22"/>
      <c r="D69" s="23"/>
      <c r="E69" s="22"/>
      <c r="F69" s="25" t="s">
        <v>31</v>
      </c>
      <c r="G69" s="26">
        <f>SUM(T8:T67)</f>
        <v>0</v>
      </c>
    </row>
    <row r="70" spans="1:20" s="32" customFormat="1" ht="15.75" thickBot="1">
      <c r="A70" s="33"/>
      <c r="B70" s="33"/>
      <c r="C70" s="33"/>
      <c r="D70" s="34"/>
      <c r="E70" s="33"/>
      <c r="F70" s="35" t="s">
        <v>32</v>
      </c>
      <c r="G70" s="36"/>
    </row>
    <row r="71" spans="1:20" ht="15.75" thickBot="1">
      <c r="A71" s="22"/>
      <c r="B71" s="22"/>
      <c r="C71" s="22"/>
      <c r="D71" s="23"/>
      <c r="E71" s="22"/>
      <c r="F71" s="45" t="s">
        <v>25</v>
      </c>
      <c r="G71" s="46">
        <f>G69-G70</f>
        <v>0</v>
      </c>
    </row>
    <row r="72" spans="1:20" ht="15">
      <c r="A72" s="22"/>
      <c r="B72" s="22"/>
      <c r="C72" s="22"/>
      <c r="D72" s="23"/>
      <c r="E72" s="22"/>
      <c r="F72" s="22"/>
      <c r="G72" s="22"/>
    </row>
    <row r="73" spans="1:20" ht="15">
      <c r="A73" s="22"/>
      <c r="B73" s="22" t="s">
        <v>33</v>
      </c>
      <c r="C73" s="22"/>
      <c r="D73" s="23"/>
      <c r="E73" s="22"/>
      <c r="F73" s="22"/>
      <c r="G73" s="22"/>
    </row>
    <row r="74" spans="1:20">
      <c r="D74" s="27"/>
    </row>
    <row r="75" spans="1:20">
      <c r="D75" s="27"/>
    </row>
    <row r="76" spans="1:20">
      <c r="D76" s="27"/>
    </row>
    <row r="77" spans="1:20">
      <c r="D77" s="27"/>
    </row>
    <row r="78" spans="1:20">
      <c r="D78" s="27"/>
    </row>
    <row r="79" spans="1:20">
      <c r="D79" s="27"/>
    </row>
    <row r="80" spans="1:20">
      <c r="D80" s="27"/>
    </row>
    <row r="81" spans="4:4">
      <c r="D81" s="27"/>
    </row>
    <row r="82" spans="4:4">
      <c r="D82" s="27"/>
    </row>
    <row r="83" spans="4:4">
      <c r="D83" s="27"/>
    </row>
    <row r="84" spans="4:4">
      <c r="D84" s="27"/>
    </row>
    <row r="85" spans="4:4">
      <c r="D85" s="27"/>
    </row>
    <row r="86" spans="4:4">
      <c r="D86" s="27"/>
    </row>
    <row r="87" spans="4:4">
      <c r="D87" s="27"/>
    </row>
    <row r="88" spans="4:4">
      <c r="D88" s="27"/>
    </row>
    <row r="89" spans="4:4">
      <c r="D89" s="27"/>
    </row>
    <row r="90" spans="4:4">
      <c r="D90" s="27"/>
    </row>
    <row r="91" spans="4:4">
      <c r="D91" s="27"/>
    </row>
    <row r="92" spans="4:4">
      <c r="D92" s="27"/>
    </row>
    <row r="93" spans="4:4">
      <c r="D93" s="27"/>
    </row>
    <row r="94" spans="4:4">
      <c r="D94" s="27"/>
    </row>
    <row r="95" spans="4:4">
      <c r="D95" s="27"/>
    </row>
    <row r="96" spans="4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  <row r="101" spans="4:4">
      <c r="D101" s="27"/>
    </row>
    <row r="102" spans="4:4">
      <c r="D102" s="27"/>
    </row>
    <row r="103" spans="4:4">
      <c r="D103" s="27"/>
    </row>
    <row r="104" spans="4:4">
      <c r="D104" s="27"/>
    </row>
    <row r="105" spans="4:4">
      <c r="D105" s="27"/>
    </row>
    <row r="106" spans="4:4">
      <c r="D106" s="27"/>
    </row>
    <row r="107" spans="4:4">
      <c r="D107" s="27"/>
    </row>
    <row r="108" spans="4:4">
      <c r="D108" s="27"/>
    </row>
    <row r="109" spans="4:4">
      <c r="D109" s="27"/>
    </row>
    <row r="110" spans="4:4">
      <c r="D110" s="27"/>
    </row>
    <row r="111" spans="4:4">
      <c r="D111" s="27"/>
    </row>
    <row r="112" spans="4:4">
      <c r="D112" s="27"/>
    </row>
    <row r="113" spans="4:4">
      <c r="D113" s="27"/>
    </row>
    <row r="114" spans="4:4">
      <c r="D114" s="27"/>
    </row>
    <row r="115" spans="4:4">
      <c r="D115" s="27"/>
    </row>
    <row r="116" spans="4:4">
      <c r="D116" s="27"/>
    </row>
    <row r="117" spans="4:4">
      <c r="D117" s="27"/>
    </row>
    <row r="118" spans="4:4">
      <c r="D118" s="27"/>
    </row>
    <row r="119" spans="4:4">
      <c r="D119" s="27"/>
    </row>
    <row r="120" spans="4:4">
      <c r="D120" s="27"/>
    </row>
    <row r="121" spans="4:4">
      <c r="D121" s="27"/>
    </row>
    <row r="122" spans="4:4">
      <c r="D122" s="27"/>
    </row>
    <row r="123" spans="4:4">
      <c r="D123" s="27"/>
    </row>
    <row r="124" spans="4:4">
      <c r="D124" s="27"/>
    </row>
    <row r="125" spans="4:4">
      <c r="D125" s="27"/>
    </row>
    <row r="126" spans="4:4">
      <c r="D126" s="27"/>
    </row>
    <row r="127" spans="4:4">
      <c r="D127" s="27"/>
    </row>
    <row r="128" spans="4:4">
      <c r="D128" s="27"/>
    </row>
    <row r="129" spans="4:4">
      <c r="D129" s="27"/>
    </row>
    <row r="130" spans="4:4">
      <c r="D130" s="27"/>
    </row>
    <row r="131" spans="4:4">
      <c r="D131" s="27"/>
    </row>
    <row r="132" spans="4:4">
      <c r="D132" s="27"/>
    </row>
    <row r="133" spans="4:4">
      <c r="D133" s="27"/>
    </row>
    <row r="134" spans="4:4">
      <c r="D134" s="27"/>
    </row>
    <row r="135" spans="4:4">
      <c r="D135" s="27"/>
    </row>
    <row r="136" spans="4:4">
      <c r="D136" s="27"/>
    </row>
    <row r="137" spans="4:4">
      <c r="D137" s="27"/>
    </row>
    <row r="138" spans="4:4">
      <c r="D138" s="27"/>
    </row>
    <row r="139" spans="4:4">
      <c r="D139" s="27"/>
    </row>
    <row r="140" spans="4:4">
      <c r="D140" s="27"/>
    </row>
    <row r="141" spans="4:4">
      <c r="D141" s="27"/>
    </row>
    <row r="142" spans="4:4">
      <c r="D142" s="27"/>
    </row>
    <row r="143" spans="4:4">
      <c r="D143" s="27"/>
    </row>
    <row r="144" spans="4:4">
      <c r="D144" s="27"/>
    </row>
    <row r="145" spans="4:4">
      <c r="D145" s="27"/>
    </row>
    <row r="146" spans="4:4">
      <c r="D146" s="27"/>
    </row>
    <row r="147" spans="4:4">
      <c r="D147" s="27"/>
    </row>
    <row r="148" spans="4:4">
      <c r="D148" s="27"/>
    </row>
    <row r="149" spans="4:4">
      <c r="D149" s="27"/>
    </row>
    <row r="150" spans="4:4">
      <c r="D150" s="27"/>
    </row>
    <row r="151" spans="4:4">
      <c r="D151" s="27"/>
    </row>
    <row r="152" spans="4:4">
      <c r="D152" s="27"/>
    </row>
    <row r="153" spans="4:4">
      <c r="D153" s="27"/>
    </row>
    <row r="154" spans="4:4">
      <c r="D154" s="27"/>
    </row>
    <row r="155" spans="4:4">
      <c r="D155" s="27"/>
    </row>
    <row r="156" spans="4:4">
      <c r="D156" s="27"/>
    </row>
    <row r="157" spans="4:4">
      <c r="D157" s="27"/>
    </row>
    <row r="158" spans="4:4">
      <c r="D158" s="27"/>
    </row>
    <row r="159" spans="4:4">
      <c r="D159" s="27"/>
    </row>
    <row r="160" spans="4:4">
      <c r="D160" s="27"/>
    </row>
    <row r="161" spans="4:4">
      <c r="D161" s="27"/>
    </row>
    <row r="162" spans="4:4">
      <c r="D162" s="27"/>
    </row>
    <row r="163" spans="4:4">
      <c r="D163" s="27"/>
    </row>
    <row r="164" spans="4:4">
      <c r="D164" s="27"/>
    </row>
    <row r="165" spans="4:4">
      <c r="D165" s="27"/>
    </row>
    <row r="166" spans="4:4">
      <c r="D166" s="27"/>
    </row>
    <row r="167" spans="4:4">
      <c r="D167" s="27"/>
    </row>
    <row r="168" spans="4:4">
      <c r="D168" s="27"/>
    </row>
    <row r="169" spans="4:4">
      <c r="D169" s="27"/>
    </row>
    <row r="170" spans="4:4">
      <c r="D170" s="27"/>
    </row>
    <row r="171" spans="4:4">
      <c r="D171" s="27"/>
    </row>
    <row r="172" spans="4:4">
      <c r="D172" s="27"/>
    </row>
    <row r="173" spans="4:4">
      <c r="D173" s="27"/>
    </row>
    <row r="174" spans="4:4">
      <c r="D174" s="27"/>
    </row>
    <row r="175" spans="4:4">
      <c r="D175" s="27"/>
    </row>
    <row r="176" spans="4:4">
      <c r="D176" s="27"/>
    </row>
    <row r="177" spans="4:4">
      <c r="D177" s="27"/>
    </row>
    <row r="178" spans="4:4">
      <c r="D178" s="27"/>
    </row>
    <row r="179" spans="4:4">
      <c r="D179" s="27"/>
    </row>
    <row r="180" spans="4:4">
      <c r="D180" s="27"/>
    </row>
    <row r="181" spans="4:4">
      <c r="D181" s="27"/>
    </row>
    <row r="182" spans="4:4">
      <c r="D182" s="27"/>
    </row>
  </sheetData>
  <mergeCells count="5">
    <mergeCell ref="A1:C1"/>
    <mergeCell ref="D1:G1"/>
    <mergeCell ref="B2:C2"/>
    <mergeCell ref="D2:G2"/>
    <mergeCell ref="C4:G4"/>
  </mergeCells>
  <dataValidations count="2">
    <dataValidation type="list" allowBlank="1" showInputMessage="1" showErrorMessage="1" sqref="C65566:F65566 IY65566:JB65566 SU65566:SX65566 ACQ65566:ACT65566 AMM65566:AMP65566 AWI65566:AWL65566 BGE65566:BGH65566 BQA65566:BQD65566 BZW65566:BZZ65566 CJS65566:CJV65566 CTO65566:CTR65566 DDK65566:DDN65566 DNG65566:DNJ65566 DXC65566:DXF65566 EGY65566:EHB65566 EQU65566:EQX65566 FAQ65566:FAT65566 FKM65566:FKP65566 FUI65566:FUL65566 GEE65566:GEH65566 GOA65566:GOD65566 GXW65566:GXZ65566 HHS65566:HHV65566 HRO65566:HRR65566 IBK65566:IBN65566 ILG65566:ILJ65566 IVC65566:IVF65566 JEY65566:JFB65566 JOU65566:JOX65566 JYQ65566:JYT65566 KIM65566:KIP65566 KSI65566:KSL65566 LCE65566:LCH65566 LMA65566:LMD65566 LVW65566:LVZ65566 MFS65566:MFV65566 MPO65566:MPR65566 MZK65566:MZN65566 NJG65566:NJJ65566 NTC65566:NTF65566 OCY65566:ODB65566 OMU65566:OMX65566 OWQ65566:OWT65566 PGM65566:PGP65566 PQI65566:PQL65566 QAE65566:QAH65566 QKA65566:QKD65566 QTW65566:QTZ65566 RDS65566:RDV65566 RNO65566:RNR65566 RXK65566:RXN65566 SHG65566:SHJ65566 SRC65566:SRF65566 TAY65566:TBB65566 TKU65566:TKX65566 TUQ65566:TUT65566 UEM65566:UEP65566 UOI65566:UOL65566 UYE65566:UYH65566 VIA65566:VID65566 VRW65566:VRZ65566 WBS65566:WBV65566 WLO65566:WLR65566 WVK65566:WVN65566 C131102:F131102 IY131102:JB131102 SU131102:SX131102 ACQ131102:ACT131102 AMM131102:AMP131102 AWI131102:AWL131102 BGE131102:BGH131102 BQA131102:BQD131102 BZW131102:BZZ131102 CJS131102:CJV131102 CTO131102:CTR131102 DDK131102:DDN131102 DNG131102:DNJ131102 DXC131102:DXF131102 EGY131102:EHB131102 EQU131102:EQX131102 FAQ131102:FAT131102 FKM131102:FKP131102 FUI131102:FUL131102 GEE131102:GEH131102 GOA131102:GOD131102 GXW131102:GXZ131102 HHS131102:HHV131102 HRO131102:HRR131102 IBK131102:IBN131102 ILG131102:ILJ131102 IVC131102:IVF131102 JEY131102:JFB131102 JOU131102:JOX131102 JYQ131102:JYT131102 KIM131102:KIP131102 KSI131102:KSL131102 LCE131102:LCH131102 LMA131102:LMD131102 LVW131102:LVZ131102 MFS131102:MFV131102 MPO131102:MPR131102 MZK131102:MZN131102 NJG131102:NJJ131102 NTC131102:NTF131102 OCY131102:ODB131102 OMU131102:OMX131102 OWQ131102:OWT131102 PGM131102:PGP131102 PQI131102:PQL131102 QAE131102:QAH131102 QKA131102:QKD131102 QTW131102:QTZ131102 RDS131102:RDV131102 RNO131102:RNR131102 RXK131102:RXN131102 SHG131102:SHJ131102 SRC131102:SRF131102 TAY131102:TBB131102 TKU131102:TKX131102 TUQ131102:TUT131102 UEM131102:UEP131102 UOI131102:UOL131102 UYE131102:UYH131102 VIA131102:VID131102 VRW131102:VRZ131102 WBS131102:WBV131102 WLO131102:WLR131102 WVK131102:WVN131102 C196638:F196638 IY196638:JB196638 SU196638:SX196638 ACQ196638:ACT196638 AMM196638:AMP196638 AWI196638:AWL196638 BGE196638:BGH196638 BQA196638:BQD196638 BZW196638:BZZ196638 CJS196638:CJV196638 CTO196638:CTR196638 DDK196638:DDN196638 DNG196638:DNJ196638 DXC196638:DXF196638 EGY196638:EHB196638 EQU196638:EQX196638 FAQ196638:FAT196638 FKM196638:FKP196638 FUI196638:FUL196638 GEE196638:GEH196638 GOA196638:GOD196638 GXW196638:GXZ196638 HHS196638:HHV196638 HRO196638:HRR196638 IBK196638:IBN196638 ILG196638:ILJ196638 IVC196638:IVF196638 JEY196638:JFB196638 JOU196638:JOX196638 JYQ196638:JYT196638 KIM196638:KIP196638 KSI196638:KSL196638 LCE196638:LCH196638 LMA196638:LMD196638 LVW196638:LVZ196638 MFS196638:MFV196638 MPO196638:MPR196638 MZK196638:MZN196638 NJG196638:NJJ196638 NTC196638:NTF196638 OCY196638:ODB196638 OMU196638:OMX196638 OWQ196638:OWT196638 PGM196638:PGP196638 PQI196638:PQL196638 QAE196638:QAH196638 QKA196638:QKD196638 QTW196638:QTZ196638 RDS196638:RDV196638 RNO196638:RNR196638 RXK196638:RXN196638 SHG196638:SHJ196638 SRC196638:SRF196638 TAY196638:TBB196638 TKU196638:TKX196638 TUQ196638:TUT196638 UEM196638:UEP196638 UOI196638:UOL196638 UYE196638:UYH196638 VIA196638:VID196638 VRW196638:VRZ196638 WBS196638:WBV196638 WLO196638:WLR196638 WVK196638:WVN196638 C262174:F262174 IY262174:JB262174 SU262174:SX262174 ACQ262174:ACT262174 AMM262174:AMP262174 AWI262174:AWL262174 BGE262174:BGH262174 BQA262174:BQD262174 BZW262174:BZZ262174 CJS262174:CJV262174 CTO262174:CTR262174 DDK262174:DDN262174 DNG262174:DNJ262174 DXC262174:DXF262174 EGY262174:EHB262174 EQU262174:EQX262174 FAQ262174:FAT262174 FKM262174:FKP262174 FUI262174:FUL262174 GEE262174:GEH262174 GOA262174:GOD262174 GXW262174:GXZ262174 HHS262174:HHV262174 HRO262174:HRR262174 IBK262174:IBN262174 ILG262174:ILJ262174 IVC262174:IVF262174 JEY262174:JFB262174 JOU262174:JOX262174 JYQ262174:JYT262174 KIM262174:KIP262174 KSI262174:KSL262174 LCE262174:LCH262174 LMA262174:LMD262174 LVW262174:LVZ262174 MFS262174:MFV262174 MPO262174:MPR262174 MZK262174:MZN262174 NJG262174:NJJ262174 NTC262174:NTF262174 OCY262174:ODB262174 OMU262174:OMX262174 OWQ262174:OWT262174 PGM262174:PGP262174 PQI262174:PQL262174 QAE262174:QAH262174 QKA262174:QKD262174 QTW262174:QTZ262174 RDS262174:RDV262174 RNO262174:RNR262174 RXK262174:RXN262174 SHG262174:SHJ262174 SRC262174:SRF262174 TAY262174:TBB262174 TKU262174:TKX262174 TUQ262174:TUT262174 UEM262174:UEP262174 UOI262174:UOL262174 UYE262174:UYH262174 VIA262174:VID262174 VRW262174:VRZ262174 WBS262174:WBV262174 WLO262174:WLR262174 WVK262174:WVN262174 C327710:F327710 IY327710:JB327710 SU327710:SX327710 ACQ327710:ACT327710 AMM327710:AMP327710 AWI327710:AWL327710 BGE327710:BGH327710 BQA327710:BQD327710 BZW327710:BZZ327710 CJS327710:CJV327710 CTO327710:CTR327710 DDK327710:DDN327710 DNG327710:DNJ327710 DXC327710:DXF327710 EGY327710:EHB327710 EQU327710:EQX327710 FAQ327710:FAT327710 FKM327710:FKP327710 FUI327710:FUL327710 GEE327710:GEH327710 GOA327710:GOD327710 GXW327710:GXZ327710 HHS327710:HHV327710 HRO327710:HRR327710 IBK327710:IBN327710 ILG327710:ILJ327710 IVC327710:IVF327710 JEY327710:JFB327710 JOU327710:JOX327710 JYQ327710:JYT327710 KIM327710:KIP327710 KSI327710:KSL327710 LCE327710:LCH327710 LMA327710:LMD327710 LVW327710:LVZ327710 MFS327710:MFV327710 MPO327710:MPR327710 MZK327710:MZN327710 NJG327710:NJJ327710 NTC327710:NTF327710 OCY327710:ODB327710 OMU327710:OMX327710 OWQ327710:OWT327710 PGM327710:PGP327710 PQI327710:PQL327710 QAE327710:QAH327710 QKA327710:QKD327710 QTW327710:QTZ327710 RDS327710:RDV327710 RNO327710:RNR327710 RXK327710:RXN327710 SHG327710:SHJ327710 SRC327710:SRF327710 TAY327710:TBB327710 TKU327710:TKX327710 TUQ327710:TUT327710 UEM327710:UEP327710 UOI327710:UOL327710 UYE327710:UYH327710 VIA327710:VID327710 VRW327710:VRZ327710 WBS327710:WBV327710 WLO327710:WLR327710 WVK327710:WVN327710 C393246:F393246 IY393246:JB393246 SU393246:SX393246 ACQ393246:ACT393246 AMM393246:AMP393246 AWI393246:AWL393246 BGE393246:BGH393246 BQA393246:BQD393246 BZW393246:BZZ393246 CJS393246:CJV393246 CTO393246:CTR393246 DDK393246:DDN393246 DNG393246:DNJ393246 DXC393246:DXF393246 EGY393246:EHB393246 EQU393246:EQX393246 FAQ393246:FAT393246 FKM393246:FKP393246 FUI393246:FUL393246 GEE393246:GEH393246 GOA393246:GOD393246 GXW393246:GXZ393246 HHS393246:HHV393246 HRO393246:HRR393246 IBK393246:IBN393246 ILG393246:ILJ393246 IVC393246:IVF393246 JEY393246:JFB393246 JOU393246:JOX393246 JYQ393246:JYT393246 KIM393246:KIP393246 KSI393246:KSL393246 LCE393246:LCH393246 LMA393246:LMD393246 LVW393246:LVZ393246 MFS393246:MFV393246 MPO393246:MPR393246 MZK393246:MZN393246 NJG393246:NJJ393246 NTC393246:NTF393246 OCY393246:ODB393246 OMU393246:OMX393246 OWQ393246:OWT393246 PGM393246:PGP393246 PQI393246:PQL393246 QAE393246:QAH393246 QKA393246:QKD393246 QTW393246:QTZ393246 RDS393246:RDV393246 RNO393246:RNR393246 RXK393246:RXN393246 SHG393246:SHJ393246 SRC393246:SRF393246 TAY393246:TBB393246 TKU393246:TKX393246 TUQ393246:TUT393246 UEM393246:UEP393246 UOI393246:UOL393246 UYE393246:UYH393246 VIA393246:VID393246 VRW393246:VRZ393246 WBS393246:WBV393246 WLO393246:WLR393246 WVK393246:WVN393246 C458782:F458782 IY458782:JB458782 SU458782:SX458782 ACQ458782:ACT458782 AMM458782:AMP458782 AWI458782:AWL458782 BGE458782:BGH458782 BQA458782:BQD458782 BZW458782:BZZ458782 CJS458782:CJV458782 CTO458782:CTR458782 DDK458782:DDN458782 DNG458782:DNJ458782 DXC458782:DXF458782 EGY458782:EHB458782 EQU458782:EQX458782 FAQ458782:FAT458782 FKM458782:FKP458782 FUI458782:FUL458782 GEE458782:GEH458782 GOA458782:GOD458782 GXW458782:GXZ458782 HHS458782:HHV458782 HRO458782:HRR458782 IBK458782:IBN458782 ILG458782:ILJ458782 IVC458782:IVF458782 JEY458782:JFB458782 JOU458782:JOX458782 JYQ458782:JYT458782 KIM458782:KIP458782 KSI458782:KSL458782 LCE458782:LCH458782 LMA458782:LMD458782 LVW458782:LVZ458782 MFS458782:MFV458782 MPO458782:MPR458782 MZK458782:MZN458782 NJG458782:NJJ458782 NTC458782:NTF458782 OCY458782:ODB458782 OMU458782:OMX458782 OWQ458782:OWT458782 PGM458782:PGP458782 PQI458782:PQL458782 QAE458782:QAH458782 QKA458782:QKD458782 QTW458782:QTZ458782 RDS458782:RDV458782 RNO458782:RNR458782 RXK458782:RXN458782 SHG458782:SHJ458782 SRC458782:SRF458782 TAY458782:TBB458782 TKU458782:TKX458782 TUQ458782:TUT458782 UEM458782:UEP458782 UOI458782:UOL458782 UYE458782:UYH458782 VIA458782:VID458782 VRW458782:VRZ458782 WBS458782:WBV458782 WLO458782:WLR458782 WVK458782:WVN458782 C524318:F524318 IY524318:JB524318 SU524318:SX524318 ACQ524318:ACT524318 AMM524318:AMP524318 AWI524318:AWL524318 BGE524318:BGH524318 BQA524318:BQD524318 BZW524318:BZZ524318 CJS524318:CJV524318 CTO524318:CTR524318 DDK524318:DDN524318 DNG524318:DNJ524318 DXC524318:DXF524318 EGY524318:EHB524318 EQU524318:EQX524318 FAQ524318:FAT524318 FKM524318:FKP524318 FUI524318:FUL524318 GEE524318:GEH524318 GOA524318:GOD524318 GXW524318:GXZ524318 HHS524318:HHV524318 HRO524318:HRR524318 IBK524318:IBN524318 ILG524318:ILJ524318 IVC524318:IVF524318 JEY524318:JFB524318 JOU524318:JOX524318 JYQ524318:JYT524318 KIM524318:KIP524318 KSI524318:KSL524318 LCE524318:LCH524318 LMA524318:LMD524318 LVW524318:LVZ524318 MFS524318:MFV524318 MPO524318:MPR524318 MZK524318:MZN524318 NJG524318:NJJ524318 NTC524318:NTF524318 OCY524318:ODB524318 OMU524318:OMX524318 OWQ524318:OWT524318 PGM524318:PGP524318 PQI524318:PQL524318 QAE524318:QAH524318 QKA524318:QKD524318 QTW524318:QTZ524318 RDS524318:RDV524318 RNO524318:RNR524318 RXK524318:RXN524318 SHG524318:SHJ524318 SRC524318:SRF524318 TAY524318:TBB524318 TKU524318:TKX524318 TUQ524318:TUT524318 UEM524318:UEP524318 UOI524318:UOL524318 UYE524318:UYH524318 VIA524318:VID524318 VRW524318:VRZ524318 WBS524318:WBV524318 WLO524318:WLR524318 WVK524318:WVN524318 C589854:F589854 IY589854:JB589854 SU589854:SX589854 ACQ589854:ACT589854 AMM589854:AMP589854 AWI589854:AWL589854 BGE589854:BGH589854 BQA589854:BQD589854 BZW589854:BZZ589854 CJS589854:CJV589854 CTO589854:CTR589854 DDK589854:DDN589854 DNG589854:DNJ589854 DXC589854:DXF589854 EGY589854:EHB589854 EQU589854:EQX589854 FAQ589854:FAT589854 FKM589854:FKP589854 FUI589854:FUL589854 GEE589854:GEH589854 GOA589854:GOD589854 GXW589854:GXZ589854 HHS589854:HHV589854 HRO589854:HRR589854 IBK589854:IBN589854 ILG589854:ILJ589854 IVC589854:IVF589854 JEY589854:JFB589854 JOU589854:JOX589854 JYQ589854:JYT589854 KIM589854:KIP589854 KSI589854:KSL589854 LCE589854:LCH589854 LMA589854:LMD589854 LVW589854:LVZ589854 MFS589854:MFV589854 MPO589854:MPR589854 MZK589854:MZN589854 NJG589854:NJJ589854 NTC589854:NTF589854 OCY589854:ODB589854 OMU589854:OMX589854 OWQ589854:OWT589854 PGM589854:PGP589854 PQI589854:PQL589854 QAE589854:QAH589854 QKA589854:QKD589854 QTW589854:QTZ589854 RDS589854:RDV589854 RNO589854:RNR589854 RXK589854:RXN589854 SHG589854:SHJ589854 SRC589854:SRF589854 TAY589854:TBB589854 TKU589854:TKX589854 TUQ589854:TUT589854 UEM589854:UEP589854 UOI589854:UOL589854 UYE589854:UYH589854 VIA589854:VID589854 VRW589854:VRZ589854 WBS589854:WBV589854 WLO589854:WLR589854 WVK589854:WVN589854 C655390:F655390 IY655390:JB655390 SU655390:SX655390 ACQ655390:ACT655390 AMM655390:AMP655390 AWI655390:AWL655390 BGE655390:BGH655390 BQA655390:BQD655390 BZW655390:BZZ655390 CJS655390:CJV655390 CTO655390:CTR655390 DDK655390:DDN655390 DNG655390:DNJ655390 DXC655390:DXF655390 EGY655390:EHB655390 EQU655390:EQX655390 FAQ655390:FAT655390 FKM655390:FKP655390 FUI655390:FUL655390 GEE655390:GEH655390 GOA655390:GOD655390 GXW655390:GXZ655390 HHS655390:HHV655390 HRO655390:HRR655390 IBK655390:IBN655390 ILG655390:ILJ655390 IVC655390:IVF655390 JEY655390:JFB655390 JOU655390:JOX655390 JYQ655390:JYT655390 KIM655390:KIP655390 KSI655390:KSL655390 LCE655390:LCH655390 LMA655390:LMD655390 LVW655390:LVZ655390 MFS655390:MFV655390 MPO655390:MPR655390 MZK655390:MZN655390 NJG655390:NJJ655390 NTC655390:NTF655390 OCY655390:ODB655390 OMU655390:OMX655390 OWQ655390:OWT655390 PGM655390:PGP655390 PQI655390:PQL655390 QAE655390:QAH655390 QKA655390:QKD655390 QTW655390:QTZ655390 RDS655390:RDV655390 RNO655390:RNR655390 RXK655390:RXN655390 SHG655390:SHJ655390 SRC655390:SRF655390 TAY655390:TBB655390 TKU655390:TKX655390 TUQ655390:TUT655390 UEM655390:UEP655390 UOI655390:UOL655390 UYE655390:UYH655390 VIA655390:VID655390 VRW655390:VRZ655390 WBS655390:WBV655390 WLO655390:WLR655390 WVK655390:WVN655390 C720926:F720926 IY720926:JB720926 SU720926:SX720926 ACQ720926:ACT720926 AMM720926:AMP720926 AWI720926:AWL720926 BGE720926:BGH720926 BQA720926:BQD720926 BZW720926:BZZ720926 CJS720926:CJV720926 CTO720926:CTR720926 DDK720926:DDN720926 DNG720926:DNJ720926 DXC720926:DXF720926 EGY720926:EHB720926 EQU720926:EQX720926 FAQ720926:FAT720926 FKM720926:FKP720926 FUI720926:FUL720926 GEE720926:GEH720926 GOA720926:GOD720926 GXW720926:GXZ720926 HHS720926:HHV720926 HRO720926:HRR720926 IBK720926:IBN720926 ILG720926:ILJ720926 IVC720926:IVF720926 JEY720926:JFB720926 JOU720926:JOX720926 JYQ720926:JYT720926 KIM720926:KIP720926 KSI720926:KSL720926 LCE720926:LCH720926 LMA720926:LMD720926 LVW720926:LVZ720926 MFS720926:MFV720926 MPO720926:MPR720926 MZK720926:MZN720926 NJG720926:NJJ720926 NTC720926:NTF720926 OCY720926:ODB720926 OMU720926:OMX720926 OWQ720926:OWT720926 PGM720926:PGP720926 PQI720926:PQL720926 QAE720926:QAH720926 QKA720926:QKD720926 QTW720926:QTZ720926 RDS720926:RDV720926 RNO720926:RNR720926 RXK720926:RXN720926 SHG720926:SHJ720926 SRC720926:SRF720926 TAY720926:TBB720926 TKU720926:TKX720926 TUQ720926:TUT720926 UEM720926:UEP720926 UOI720926:UOL720926 UYE720926:UYH720926 VIA720926:VID720926 VRW720926:VRZ720926 WBS720926:WBV720926 WLO720926:WLR720926 WVK720926:WVN720926 C786462:F786462 IY786462:JB786462 SU786462:SX786462 ACQ786462:ACT786462 AMM786462:AMP786462 AWI786462:AWL786462 BGE786462:BGH786462 BQA786462:BQD786462 BZW786462:BZZ786462 CJS786462:CJV786462 CTO786462:CTR786462 DDK786462:DDN786462 DNG786462:DNJ786462 DXC786462:DXF786462 EGY786462:EHB786462 EQU786462:EQX786462 FAQ786462:FAT786462 FKM786462:FKP786462 FUI786462:FUL786462 GEE786462:GEH786462 GOA786462:GOD786462 GXW786462:GXZ786462 HHS786462:HHV786462 HRO786462:HRR786462 IBK786462:IBN786462 ILG786462:ILJ786462 IVC786462:IVF786462 JEY786462:JFB786462 JOU786462:JOX786462 JYQ786462:JYT786462 KIM786462:KIP786462 KSI786462:KSL786462 LCE786462:LCH786462 LMA786462:LMD786462 LVW786462:LVZ786462 MFS786462:MFV786462 MPO786462:MPR786462 MZK786462:MZN786462 NJG786462:NJJ786462 NTC786462:NTF786462 OCY786462:ODB786462 OMU786462:OMX786462 OWQ786462:OWT786462 PGM786462:PGP786462 PQI786462:PQL786462 QAE786462:QAH786462 QKA786462:QKD786462 QTW786462:QTZ786462 RDS786462:RDV786462 RNO786462:RNR786462 RXK786462:RXN786462 SHG786462:SHJ786462 SRC786462:SRF786462 TAY786462:TBB786462 TKU786462:TKX786462 TUQ786462:TUT786462 UEM786462:UEP786462 UOI786462:UOL786462 UYE786462:UYH786462 VIA786462:VID786462 VRW786462:VRZ786462 WBS786462:WBV786462 WLO786462:WLR786462 WVK786462:WVN786462 C851998:F851998 IY851998:JB851998 SU851998:SX851998 ACQ851998:ACT851998 AMM851998:AMP851998 AWI851998:AWL851998 BGE851998:BGH851998 BQA851998:BQD851998 BZW851998:BZZ851998 CJS851998:CJV851998 CTO851998:CTR851998 DDK851998:DDN851998 DNG851998:DNJ851998 DXC851998:DXF851998 EGY851998:EHB851998 EQU851998:EQX851998 FAQ851998:FAT851998 FKM851998:FKP851998 FUI851998:FUL851998 GEE851998:GEH851998 GOA851998:GOD851998 GXW851998:GXZ851998 HHS851998:HHV851998 HRO851998:HRR851998 IBK851998:IBN851998 ILG851998:ILJ851998 IVC851998:IVF851998 JEY851998:JFB851998 JOU851998:JOX851998 JYQ851998:JYT851998 KIM851998:KIP851998 KSI851998:KSL851998 LCE851998:LCH851998 LMA851998:LMD851998 LVW851998:LVZ851998 MFS851998:MFV851998 MPO851998:MPR851998 MZK851998:MZN851998 NJG851998:NJJ851998 NTC851998:NTF851998 OCY851998:ODB851998 OMU851998:OMX851998 OWQ851998:OWT851998 PGM851998:PGP851998 PQI851998:PQL851998 QAE851998:QAH851998 QKA851998:QKD851998 QTW851998:QTZ851998 RDS851998:RDV851998 RNO851998:RNR851998 RXK851998:RXN851998 SHG851998:SHJ851998 SRC851998:SRF851998 TAY851998:TBB851998 TKU851998:TKX851998 TUQ851998:TUT851998 UEM851998:UEP851998 UOI851998:UOL851998 UYE851998:UYH851998 VIA851998:VID851998 VRW851998:VRZ851998 WBS851998:WBV851998 WLO851998:WLR851998 WVK851998:WVN851998 C917534:F917534 IY917534:JB917534 SU917534:SX917534 ACQ917534:ACT917534 AMM917534:AMP917534 AWI917534:AWL917534 BGE917534:BGH917534 BQA917534:BQD917534 BZW917534:BZZ917534 CJS917534:CJV917534 CTO917534:CTR917534 DDK917534:DDN917534 DNG917534:DNJ917534 DXC917534:DXF917534 EGY917534:EHB917534 EQU917534:EQX917534 FAQ917534:FAT917534 FKM917534:FKP917534 FUI917534:FUL917534 GEE917534:GEH917534 GOA917534:GOD917534 GXW917534:GXZ917534 HHS917534:HHV917534 HRO917534:HRR917534 IBK917534:IBN917534 ILG917534:ILJ917534 IVC917534:IVF917534 JEY917534:JFB917534 JOU917534:JOX917534 JYQ917534:JYT917534 KIM917534:KIP917534 KSI917534:KSL917534 LCE917534:LCH917534 LMA917534:LMD917534 LVW917534:LVZ917534 MFS917534:MFV917534 MPO917534:MPR917534 MZK917534:MZN917534 NJG917534:NJJ917534 NTC917534:NTF917534 OCY917534:ODB917534 OMU917534:OMX917534 OWQ917534:OWT917534 PGM917534:PGP917534 PQI917534:PQL917534 QAE917534:QAH917534 QKA917534:QKD917534 QTW917534:QTZ917534 RDS917534:RDV917534 RNO917534:RNR917534 RXK917534:RXN917534 SHG917534:SHJ917534 SRC917534:SRF917534 TAY917534:TBB917534 TKU917534:TKX917534 TUQ917534:TUT917534 UEM917534:UEP917534 UOI917534:UOL917534 UYE917534:UYH917534 VIA917534:VID917534 VRW917534:VRZ917534 WBS917534:WBV917534 WLO917534:WLR917534 WVK917534:WVN917534 C983070:F983070 IY983070:JB983070 SU983070:SX983070 ACQ983070:ACT983070 AMM983070:AMP983070 AWI983070:AWL983070 BGE983070:BGH983070 BQA983070:BQD983070 BZW983070:BZZ983070 CJS983070:CJV983070 CTO983070:CTR983070 DDK983070:DDN983070 DNG983070:DNJ983070 DXC983070:DXF983070 EGY983070:EHB983070 EQU983070:EQX983070 FAQ983070:FAT983070 FKM983070:FKP983070 FUI983070:FUL983070 GEE983070:GEH983070 GOA983070:GOD983070 GXW983070:GXZ983070 HHS983070:HHV983070 HRO983070:HRR983070 IBK983070:IBN983070 ILG983070:ILJ983070 IVC983070:IVF983070 JEY983070:JFB983070 JOU983070:JOX983070 JYQ983070:JYT983070 KIM983070:KIP983070 KSI983070:KSL983070 LCE983070:LCH983070 LMA983070:LMD983070 LVW983070:LVZ983070 MFS983070:MFV983070 MPO983070:MPR983070 MZK983070:MZN983070 NJG983070:NJJ983070 NTC983070:NTF983070 OCY983070:ODB983070 OMU983070:OMX983070 OWQ983070:OWT983070 PGM983070:PGP983070 PQI983070:PQL983070 QAE983070:QAH983070 QKA983070:QKD983070 QTW983070:QTZ983070 RDS983070:RDV983070 RNO983070:RNR983070 RXK983070:RXN983070 SHG983070:SHJ983070 SRC983070:SRF983070 TAY983070:TBB983070 TKU983070:TKX983070 TUQ983070:TUT983070 UEM983070:UEP983070 UOI983070:UOL983070 UYE983070:UYH983070 VIA983070:VID983070 VRW983070:VRZ983070 WBS983070:WBV983070 WLO983070:WLR983070 WVK983070:WVN983070">
      <formula1>Фасад</formula1>
    </dataValidation>
    <dataValidation type="list" allowBlank="1" showInputMessage="1" showErrorMessage="1" sqref="C65564:F65565 IY65564:JB65565 SU65564:SX65565 ACQ65564:ACT65565 AMM65564:AMP65565 AWI65564:AWL65565 BGE65564:BGH65565 BQA65564:BQD65565 BZW65564:BZZ65565 CJS65564:CJV65565 CTO65564:CTR65565 DDK65564:DDN65565 DNG65564:DNJ65565 DXC65564:DXF65565 EGY65564:EHB65565 EQU65564:EQX65565 FAQ65564:FAT65565 FKM65564:FKP65565 FUI65564:FUL65565 GEE65564:GEH65565 GOA65564:GOD65565 GXW65564:GXZ65565 HHS65564:HHV65565 HRO65564:HRR65565 IBK65564:IBN65565 ILG65564:ILJ65565 IVC65564:IVF65565 JEY65564:JFB65565 JOU65564:JOX65565 JYQ65564:JYT65565 KIM65564:KIP65565 KSI65564:KSL65565 LCE65564:LCH65565 LMA65564:LMD65565 LVW65564:LVZ65565 MFS65564:MFV65565 MPO65564:MPR65565 MZK65564:MZN65565 NJG65564:NJJ65565 NTC65564:NTF65565 OCY65564:ODB65565 OMU65564:OMX65565 OWQ65564:OWT65565 PGM65564:PGP65565 PQI65564:PQL65565 QAE65564:QAH65565 QKA65564:QKD65565 QTW65564:QTZ65565 RDS65564:RDV65565 RNO65564:RNR65565 RXK65564:RXN65565 SHG65564:SHJ65565 SRC65564:SRF65565 TAY65564:TBB65565 TKU65564:TKX65565 TUQ65564:TUT65565 UEM65564:UEP65565 UOI65564:UOL65565 UYE65564:UYH65565 VIA65564:VID65565 VRW65564:VRZ65565 WBS65564:WBV65565 WLO65564:WLR65565 WVK65564:WVN65565 C131100:F131101 IY131100:JB131101 SU131100:SX131101 ACQ131100:ACT131101 AMM131100:AMP131101 AWI131100:AWL131101 BGE131100:BGH131101 BQA131100:BQD131101 BZW131100:BZZ131101 CJS131100:CJV131101 CTO131100:CTR131101 DDK131100:DDN131101 DNG131100:DNJ131101 DXC131100:DXF131101 EGY131100:EHB131101 EQU131100:EQX131101 FAQ131100:FAT131101 FKM131100:FKP131101 FUI131100:FUL131101 GEE131100:GEH131101 GOA131100:GOD131101 GXW131100:GXZ131101 HHS131100:HHV131101 HRO131100:HRR131101 IBK131100:IBN131101 ILG131100:ILJ131101 IVC131100:IVF131101 JEY131100:JFB131101 JOU131100:JOX131101 JYQ131100:JYT131101 KIM131100:KIP131101 KSI131100:KSL131101 LCE131100:LCH131101 LMA131100:LMD131101 LVW131100:LVZ131101 MFS131100:MFV131101 MPO131100:MPR131101 MZK131100:MZN131101 NJG131100:NJJ131101 NTC131100:NTF131101 OCY131100:ODB131101 OMU131100:OMX131101 OWQ131100:OWT131101 PGM131100:PGP131101 PQI131100:PQL131101 QAE131100:QAH131101 QKA131100:QKD131101 QTW131100:QTZ131101 RDS131100:RDV131101 RNO131100:RNR131101 RXK131100:RXN131101 SHG131100:SHJ131101 SRC131100:SRF131101 TAY131100:TBB131101 TKU131100:TKX131101 TUQ131100:TUT131101 UEM131100:UEP131101 UOI131100:UOL131101 UYE131100:UYH131101 VIA131100:VID131101 VRW131100:VRZ131101 WBS131100:WBV131101 WLO131100:WLR131101 WVK131100:WVN131101 C196636:F196637 IY196636:JB196637 SU196636:SX196637 ACQ196636:ACT196637 AMM196636:AMP196637 AWI196636:AWL196637 BGE196636:BGH196637 BQA196636:BQD196637 BZW196636:BZZ196637 CJS196636:CJV196637 CTO196636:CTR196637 DDK196636:DDN196637 DNG196636:DNJ196637 DXC196636:DXF196637 EGY196636:EHB196637 EQU196636:EQX196637 FAQ196636:FAT196637 FKM196636:FKP196637 FUI196636:FUL196637 GEE196636:GEH196637 GOA196636:GOD196637 GXW196636:GXZ196637 HHS196636:HHV196637 HRO196636:HRR196637 IBK196636:IBN196637 ILG196636:ILJ196637 IVC196636:IVF196637 JEY196636:JFB196637 JOU196636:JOX196637 JYQ196636:JYT196637 KIM196636:KIP196637 KSI196636:KSL196637 LCE196636:LCH196637 LMA196636:LMD196637 LVW196636:LVZ196637 MFS196636:MFV196637 MPO196636:MPR196637 MZK196636:MZN196637 NJG196636:NJJ196637 NTC196636:NTF196637 OCY196636:ODB196637 OMU196636:OMX196637 OWQ196636:OWT196637 PGM196636:PGP196637 PQI196636:PQL196637 QAE196636:QAH196637 QKA196636:QKD196637 QTW196636:QTZ196637 RDS196636:RDV196637 RNO196636:RNR196637 RXK196636:RXN196637 SHG196636:SHJ196637 SRC196636:SRF196637 TAY196636:TBB196637 TKU196636:TKX196637 TUQ196636:TUT196637 UEM196636:UEP196637 UOI196636:UOL196637 UYE196636:UYH196637 VIA196636:VID196637 VRW196636:VRZ196637 WBS196636:WBV196637 WLO196636:WLR196637 WVK196636:WVN196637 C262172:F262173 IY262172:JB262173 SU262172:SX262173 ACQ262172:ACT262173 AMM262172:AMP262173 AWI262172:AWL262173 BGE262172:BGH262173 BQA262172:BQD262173 BZW262172:BZZ262173 CJS262172:CJV262173 CTO262172:CTR262173 DDK262172:DDN262173 DNG262172:DNJ262173 DXC262172:DXF262173 EGY262172:EHB262173 EQU262172:EQX262173 FAQ262172:FAT262173 FKM262172:FKP262173 FUI262172:FUL262173 GEE262172:GEH262173 GOA262172:GOD262173 GXW262172:GXZ262173 HHS262172:HHV262173 HRO262172:HRR262173 IBK262172:IBN262173 ILG262172:ILJ262173 IVC262172:IVF262173 JEY262172:JFB262173 JOU262172:JOX262173 JYQ262172:JYT262173 KIM262172:KIP262173 KSI262172:KSL262173 LCE262172:LCH262173 LMA262172:LMD262173 LVW262172:LVZ262173 MFS262172:MFV262173 MPO262172:MPR262173 MZK262172:MZN262173 NJG262172:NJJ262173 NTC262172:NTF262173 OCY262172:ODB262173 OMU262172:OMX262173 OWQ262172:OWT262173 PGM262172:PGP262173 PQI262172:PQL262173 QAE262172:QAH262173 QKA262172:QKD262173 QTW262172:QTZ262173 RDS262172:RDV262173 RNO262172:RNR262173 RXK262172:RXN262173 SHG262172:SHJ262173 SRC262172:SRF262173 TAY262172:TBB262173 TKU262172:TKX262173 TUQ262172:TUT262173 UEM262172:UEP262173 UOI262172:UOL262173 UYE262172:UYH262173 VIA262172:VID262173 VRW262172:VRZ262173 WBS262172:WBV262173 WLO262172:WLR262173 WVK262172:WVN262173 C327708:F327709 IY327708:JB327709 SU327708:SX327709 ACQ327708:ACT327709 AMM327708:AMP327709 AWI327708:AWL327709 BGE327708:BGH327709 BQA327708:BQD327709 BZW327708:BZZ327709 CJS327708:CJV327709 CTO327708:CTR327709 DDK327708:DDN327709 DNG327708:DNJ327709 DXC327708:DXF327709 EGY327708:EHB327709 EQU327708:EQX327709 FAQ327708:FAT327709 FKM327708:FKP327709 FUI327708:FUL327709 GEE327708:GEH327709 GOA327708:GOD327709 GXW327708:GXZ327709 HHS327708:HHV327709 HRO327708:HRR327709 IBK327708:IBN327709 ILG327708:ILJ327709 IVC327708:IVF327709 JEY327708:JFB327709 JOU327708:JOX327709 JYQ327708:JYT327709 KIM327708:KIP327709 KSI327708:KSL327709 LCE327708:LCH327709 LMA327708:LMD327709 LVW327708:LVZ327709 MFS327708:MFV327709 MPO327708:MPR327709 MZK327708:MZN327709 NJG327708:NJJ327709 NTC327708:NTF327709 OCY327708:ODB327709 OMU327708:OMX327709 OWQ327708:OWT327709 PGM327708:PGP327709 PQI327708:PQL327709 QAE327708:QAH327709 QKA327708:QKD327709 QTW327708:QTZ327709 RDS327708:RDV327709 RNO327708:RNR327709 RXK327708:RXN327709 SHG327708:SHJ327709 SRC327708:SRF327709 TAY327708:TBB327709 TKU327708:TKX327709 TUQ327708:TUT327709 UEM327708:UEP327709 UOI327708:UOL327709 UYE327708:UYH327709 VIA327708:VID327709 VRW327708:VRZ327709 WBS327708:WBV327709 WLO327708:WLR327709 WVK327708:WVN327709 C393244:F393245 IY393244:JB393245 SU393244:SX393245 ACQ393244:ACT393245 AMM393244:AMP393245 AWI393244:AWL393245 BGE393244:BGH393245 BQA393244:BQD393245 BZW393244:BZZ393245 CJS393244:CJV393245 CTO393244:CTR393245 DDK393244:DDN393245 DNG393244:DNJ393245 DXC393244:DXF393245 EGY393244:EHB393245 EQU393244:EQX393245 FAQ393244:FAT393245 FKM393244:FKP393245 FUI393244:FUL393245 GEE393244:GEH393245 GOA393244:GOD393245 GXW393244:GXZ393245 HHS393244:HHV393245 HRO393244:HRR393245 IBK393244:IBN393245 ILG393244:ILJ393245 IVC393244:IVF393245 JEY393244:JFB393245 JOU393244:JOX393245 JYQ393244:JYT393245 KIM393244:KIP393245 KSI393244:KSL393245 LCE393244:LCH393245 LMA393244:LMD393245 LVW393244:LVZ393245 MFS393244:MFV393245 MPO393244:MPR393245 MZK393244:MZN393245 NJG393244:NJJ393245 NTC393244:NTF393245 OCY393244:ODB393245 OMU393244:OMX393245 OWQ393244:OWT393245 PGM393244:PGP393245 PQI393244:PQL393245 QAE393244:QAH393245 QKA393244:QKD393245 QTW393244:QTZ393245 RDS393244:RDV393245 RNO393244:RNR393245 RXK393244:RXN393245 SHG393244:SHJ393245 SRC393244:SRF393245 TAY393244:TBB393245 TKU393244:TKX393245 TUQ393244:TUT393245 UEM393244:UEP393245 UOI393244:UOL393245 UYE393244:UYH393245 VIA393244:VID393245 VRW393244:VRZ393245 WBS393244:WBV393245 WLO393244:WLR393245 WVK393244:WVN393245 C458780:F458781 IY458780:JB458781 SU458780:SX458781 ACQ458780:ACT458781 AMM458780:AMP458781 AWI458780:AWL458781 BGE458780:BGH458781 BQA458780:BQD458781 BZW458780:BZZ458781 CJS458780:CJV458781 CTO458780:CTR458781 DDK458780:DDN458781 DNG458780:DNJ458781 DXC458780:DXF458781 EGY458780:EHB458781 EQU458780:EQX458781 FAQ458780:FAT458781 FKM458780:FKP458781 FUI458780:FUL458781 GEE458780:GEH458781 GOA458780:GOD458781 GXW458780:GXZ458781 HHS458780:HHV458781 HRO458780:HRR458781 IBK458780:IBN458781 ILG458780:ILJ458781 IVC458780:IVF458781 JEY458780:JFB458781 JOU458780:JOX458781 JYQ458780:JYT458781 KIM458780:KIP458781 KSI458780:KSL458781 LCE458780:LCH458781 LMA458780:LMD458781 LVW458780:LVZ458781 MFS458780:MFV458781 MPO458780:MPR458781 MZK458780:MZN458781 NJG458780:NJJ458781 NTC458780:NTF458781 OCY458780:ODB458781 OMU458780:OMX458781 OWQ458780:OWT458781 PGM458780:PGP458781 PQI458780:PQL458781 QAE458780:QAH458781 QKA458780:QKD458781 QTW458780:QTZ458781 RDS458780:RDV458781 RNO458780:RNR458781 RXK458780:RXN458781 SHG458780:SHJ458781 SRC458780:SRF458781 TAY458780:TBB458781 TKU458780:TKX458781 TUQ458780:TUT458781 UEM458780:UEP458781 UOI458780:UOL458781 UYE458780:UYH458781 VIA458780:VID458781 VRW458780:VRZ458781 WBS458780:WBV458781 WLO458780:WLR458781 WVK458780:WVN458781 C524316:F524317 IY524316:JB524317 SU524316:SX524317 ACQ524316:ACT524317 AMM524316:AMP524317 AWI524316:AWL524317 BGE524316:BGH524317 BQA524316:BQD524317 BZW524316:BZZ524317 CJS524316:CJV524317 CTO524316:CTR524317 DDK524316:DDN524317 DNG524316:DNJ524317 DXC524316:DXF524317 EGY524316:EHB524317 EQU524316:EQX524317 FAQ524316:FAT524317 FKM524316:FKP524317 FUI524316:FUL524317 GEE524316:GEH524317 GOA524316:GOD524317 GXW524316:GXZ524317 HHS524316:HHV524317 HRO524316:HRR524317 IBK524316:IBN524317 ILG524316:ILJ524317 IVC524316:IVF524317 JEY524316:JFB524317 JOU524316:JOX524317 JYQ524316:JYT524317 KIM524316:KIP524317 KSI524316:KSL524317 LCE524316:LCH524317 LMA524316:LMD524317 LVW524316:LVZ524317 MFS524316:MFV524317 MPO524316:MPR524317 MZK524316:MZN524317 NJG524316:NJJ524317 NTC524316:NTF524317 OCY524316:ODB524317 OMU524316:OMX524317 OWQ524316:OWT524317 PGM524316:PGP524317 PQI524316:PQL524317 QAE524316:QAH524317 QKA524316:QKD524317 QTW524316:QTZ524317 RDS524316:RDV524317 RNO524316:RNR524317 RXK524316:RXN524317 SHG524316:SHJ524317 SRC524316:SRF524317 TAY524316:TBB524317 TKU524316:TKX524317 TUQ524316:TUT524317 UEM524316:UEP524317 UOI524316:UOL524317 UYE524316:UYH524317 VIA524316:VID524317 VRW524316:VRZ524317 WBS524316:WBV524317 WLO524316:WLR524317 WVK524316:WVN524317 C589852:F589853 IY589852:JB589853 SU589852:SX589853 ACQ589852:ACT589853 AMM589852:AMP589853 AWI589852:AWL589853 BGE589852:BGH589853 BQA589852:BQD589853 BZW589852:BZZ589853 CJS589852:CJV589853 CTO589852:CTR589853 DDK589852:DDN589853 DNG589852:DNJ589853 DXC589852:DXF589853 EGY589852:EHB589853 EQU589852:EQX589853 FAQ589852:FAT589853 FKM589852:FKP589853 FUI589852:FUL589853 GEE589852:GEH589853 GOA589852:GOD589853 GXW589852:GXZ589853 HHS589852:HHV589853 HRO589852:HRR589853 IBK589852:IBN589853 ILG589852:ILJ589853 IVC589852:IVF589853 JEY589852:JFB589853 JOU589852:JOX589853 JYQ589852:JYT589853 KIM589852:KIP589853 KSI589852:KSL589853 LCE589852:LCH589853 LMA589852:LMD589853 LVW589852:LVZ589853 MFS589852:MFV589853 MPO589852:MPR589853 MZK589852:MZN589853 NJG589852:NJJ589853 NTC589852:NTF589853 OCY589852:ODB589853 OMU589852:OMX589853 OWQ589852:OWT589853 PGM589852:PGP589853 PQI589852:PQL589853 QAE589852:QAH589853 QKA589852:QKD589853 QTW589852:QTZ589853 RDS589852:RDV589853 RNO589852:RNR589853 RXK589852:RXN589853 SHG589852:SHJ589853 SRC589852:SRF589853 TAY589852:TBB589853 TKU589852:TKX589853 TUQ589852:TUT589853 UEM589852:UEP589853 UOI589852:UOL589853 UYE589852:UYH589853 VIA589852:VID589853 VRW589852:VRZ589853 WBS589852:WBV589853 WLO589852:WLR589853 WVK589852:WVN589853 C655388:F655389 IY655388:JB655389 SU655388:SX655389 ACQ655388:ACT655389 AMM655388:AMP655389 AWI655388:AWL655389 BGE655388:BGH655389 BQA655388:BQD655389 BZW655388:BZZ655389 CJS655388:CJV655389 CTO655388:CTR655389 DDK655388:DDN655389 DNG655388:DNJ655389 DXC655388:DXF655389 EGY655388:EHB655389 EQU655388:EQX655389 FAQ655388:FAT655389 FKM655388:FKP655389 FUI655388:FUL655389 GEE655388:GEH655389 GOA655388:GOD655389 GXW655388:GXZ655389 HHS655388:HHV655389 HRO655388:HRR655389 IBK655388:IBN655389 ILG655388:ILJ655389 IVC655388:IVF655389 JEY655388:JFB655389 JOU655388:JOX655389 JYQ655388:JYT655389 KIM655388:KIP655389 KSI655388:KSL655389 LCE655388:LCH655389 LMA655388:LMD655389 LVW655388:LVZ655389 MFS655388:MFV655389 MPO655388:MPR655389 MZK655388:MZN655389 NJG655388:NJJ655389 NTC655388:NTF655389 OCY655388:ODB655389 OMU655388:OMX655389 OWQ655388:OWT655389 PGM655388:PGP655389 PQI655388:PQL655389 QAE655388:QAH655389 QKA655388:QKD655389 QTW655388:QTZ655389 RDS655388:RDV655389 RNO655388:RNR655389 RXK655388:RXN655389 SHG655388:SHJ655389 SRC655388:SRF655389 TAY655388:TBB655389 TKU655388:TKX655389 TUQ655388:TUT655389 UEM655388:UEP655389 UOI655388:UOL655389 UYE655388:UYH655389 VIA655388:VID655389 VRW655388:VRZ655389 WBS655388:WBV655389 WLO655388:WLR655389 WVK655388:WVN655389 C720924:F720925 IY720924:JB720925 SU720924:SX720925 ACQ720924:ACT720925 AMM720924:AMP720925 AWI720924:AWL720925 BGE720924:BGH720925 BQA720924:BQD720925 BZW720924:BZZ720925 CJS720924:CJV720925 CTO720924:CTR720925 DDK720924:DDN720925 DNG720924:DNJ720925 DXC720924:DXF720925 EGY720924:EHB720925 EQU720924:EQX720925 FAQ720924:FAT720925 FKM720924:FKP720925 FUI720924:FUL720925 GEE720924:GEH720925 GOA720924:GOD720925 GXW720924:GXZ720925 HHS720924:HHV720925 HRO720924:HRR720925 IBK720924:IBN720925 ILG720924:ILJ720925 IVC720924:IVF720925 JEY720924:JFB720925 JOU720924:JOX720925 JYQ720924:JYT720925 KIM720924:KIP720925 KSI720924:KSL720925 LCE720924:LCH720925 LMA720924:LMD720925 LVW720924:LVZ720925 MFS720924:MFV720925 MPO720924:MPR720925 MZK720924:MZN720925 NJG720924:NJJ720925 NTC720924:NTF720925 OCY720924:ODB720925 OMU720924:OMX720925 OWQ720924:OWT720925 PGM720924:PGP720925 PQI720924:PQL720925 QAE720924:QAH720925 QKA720924:QKD720925 QTW720924:QTZ720925 RDS720924:RDV720925 RNO720924:RNR720925 RXK720924:RXN720925 SHG720924:SHJ720925 SRC720924:SRF720925 TAY720924:TBB720925 TKU720924:TKX720925 TUQ720924:TUT720925 UEM720924:UEP720925 UOI720924:UOL720925 UYE720924:UYH720925 VIA720924:VID720925 VRW720924:VRZ720925 WBS720924:WBV720925 WLO720924:WLR720925 WVK720924:WVN720925 C786460:F786461 IY786460:JB786461 SU786460:SX786461 ACQ786460:ACT786461 AMM786460:AMP786461 AWI786460:AWL786461 BGE786460:BGH786461 BQA786460:BQD786461 BZW786460:BZZ786461 CJS786460:CJV786461 CTO786460:CTR786461 DDK786460:DDN786461 DNG786460:DNJ786461 DXC786460:DXF786461 EGY786460:EHB786461 EQU786460:EQX786461 FAQ786460:FAT786461 FKM786460:FKP786461 FUI786460:FUL786461 GEE786460:GEH786461 GOA786460:GOD786461 GXW786460:GXZ786461 HHS786460:HHV786461 HRO786460:HRR786461 IBK786460:IBN786461 ILG786460:ILJ786461 IVC786460:IVF786461 JEY786460:JFB786461 JOU786460:JOX786461 JYQ786460:JYT786461 KIM786460:KIP786461 KSI786460:KSL786461 LCE786460:LCH786461 LMA786460:LMD786461 LVW786460:LVZ786461 MFS786460:MFV786461 MPO786460:MPR786461 MZK786460:MZN786461 NJG786460:NJJ786461 NTC786460:NTF786461 OCY786460:ODB786461 OMU786460:OMX786461 OWQ786460:OWT786461 PGM786460:PGP786461 PQI786460:PQL786461 QAE786460:QAH786461 QKA786460:QKD786461 QTW786460:QTZ786461 RDS786460:RDV786461 RNO786460:RNR786461 RXK786460:RXN786461 SHG786460:SHJ786461 SRC786460:SRF786461 TAY786460:TBB786461 TKU786460:TKX786461 TUQ786460:TUT786461 UEM786460:UEP786461 UOI786460:UOL786461 UYE786460:UYH786461 VIA786460:VID786461 VRW786460:VRZ786461 WBS786460:WBV786461 WLO786460:WLR786461 WVK786460:WVN786461 C851996:F851997 IY851996:JB851997 SU851996:SX851997 ACQ851996:ACT851997 AMM851996:AMP851997 AWI851996:AWL851997 BGE851996:BGH851997 BQA851996:BQD851997 BZW851996:BZZ851997 CJS851996:CJV851997 CTO851996:CTR851997 DDK851996:DDN851997 DNG851996:DNJ851997 DXC851996:DXF851997 EGY851996:EHB851997 EQU851996:EQX851997 FAQ851996:FAT851997 FKM851996:FKP851997 FUI851996:FUL851997 GEE851996:GEH851997 GOA851996:GOD851997 GXW851996:GXZ851997 HHS851996:HHV851997 HRO851996:HRR851997 IBK851996:IBN851997 ILG851996:ILJ851997 IVC851996:IVF851997 JEY851996:JFB851997 JOU851996:JOX851997 JYQ851996:JYT851997 KIM851996:KIP851997 KSI851996:KSL851997 LCE851996:LCH851997 LMA851996:LMD851997 LVW851996:LVZ851997 MFS851996:MFV851997 MPO851996:MPR851997 MZK851996:MZN851997 NJG851996:NJJ851997 NTC851996:NTF851997 OCY851996:ODB851997 OMU851996:OMX851997 OWQ851996:OWT851997 PGM851996:PGP851997 PQI851996:PQL851997 QAE851996:QAH851997 QKA851996:QKD851997 QTW851996:QTZ851997 RDS851996:RDV851997 RNO851996:RNR851997 RXK851996:RXN851997 SHG851996:SHJ851997 SRC851996:SRF851997 TAY851996:TBB851997 TKU851996:TKX851997 TUQ851996:TUT851997 UEM851996:UEP851997 UOI851996:UOL851997 UYE851996:UYH851997 VIA851996:VID851997 VRW851996:VRZ851997 WBS851996:WBV851997 WLO851996:WLR851997 WVK851996:WVN851997 C917532:F917533 IY917532:JB917533 SU917532:SX917533 ACQ917532:ACT917533 AMM917532:AMP917533 AWI917532:AWL917533 BGE917532:BGH917533 BQA917532:BQD917533 BZW917532:BZZ917533 CJS917532:CJV917533 CTO917532:CTR917533 DDK917532:DDN917533 DNG917532:DNJ917533 DXC917532:DXF917533 EGY917532:EHB917533 EQU917532:EQX917533 FAQ917532:FAT917533 FKM917532:FKP917533 FUI917532:FUL917533 GEE917532:GEH917533 GOA917532:GOD917533 GXW917532:GXZ917533 HHS917532:HHV917533 HRO917532:HRR917533 IBK917532:IBN917533 ILG917532:ILJ917533 IVC917532:IVF917533 JEY917532:JFB917533 JOU917532:JOX917533 JYQ917532:JYT917533 KIM917532:KIP917533 KSI917532:KSL917533 LCE917532:LCH917533 LMA917532:LMD917533 LVW917532:LVZ917533 MFS917532:MFV917533 MPO917532:MPR917533 MZK917532:MZN917533 NJG917532:NJJ917533 NTC917532:NTF917533 OCY917532:ODB917533 OMU917532:OMX917533 OWQ917532:OWT917533 PGM917532:PGP917533 PQI917532:PQL917533 QAE917532:QAH917533 QKA917532:QKD917533 QTW917532:QTZ917533 RDS917532:RDV917533 RNO917532:RNR917533 RXK917532:RXN917533 SHG917532:SHJ917533 SRC917532:SRF917533 TAY917532:TBB917533 TKU917532:TKX917533 TUQ917532:TUT917533 UEM917532:UEP917533 UOI917532:UOL917533 UYE917532:UYH917533 VIA917532:VID917533 VRW917532:VRZ917533 WBS917532:WBV917533 WLO917532:WLR917533 WVK917532:WVN917533 C983068:F983069 IY983068:JB983069 SU983068:SX983069 ACQ983068:ACT983069 AMM983068:AMP983069 AWI983068:AWL983069 BGE983068:BGH983069 BQA983068:BQD983069 BZW983068:BZZ983069 CJS983068:CJV983069 CTO983068:CTR983069 DDK983068:DDN983069 DNG983068:DNJ983069 DXC983068:DXF983069 EGY983068:EHB983069 EQU983068:EQX983069 FAQ983068:FAT983069 FKM983068:FKP983069 FUI983068:FUL983069 GEE983068:GEH983069 GOA983068:GOD983069 GXW983068:GXZ983069 HHS983068:HHV983069 HRO983068:HRR983069 IBK983068:IBN983069 ILG983068:ILJ983069 IVC983068:IVF983069 JEY983068:JFB983069 JOU983068:JOX983069 JYQ983068:JYT983069 KIM983068:KIP983069 KSI983068:KSL983069 LCE983068:LCH983069 LMA983068:LMD983069 LVW983068:LVZ983069 MFS983068:MFV983069 MPO983068:MPR983069 MZK983068:MZN983069 NJG983068:NJJ983069 NTC983068:NTF983069 OCY983068:ODB983069 OMU983068:OMX983069 OWQ983068:OWT983069 PGM983068:PGP983069 PQI983068:PQL983069 QAE983068:QAH983069 QKA983068:QKD983069 QTW983068:QTZ983069 RDS983068:RDV983069 RNO983068:RNR983069 RXK983068:RXN983069 SHG983068:SHJ983069 SRC983068:SRF983069 TAY983068:TBB983069 TKU983068:TKX983069 TUQ983068:TUT983069 UEM983068:UEP983069 UOI983068:UOL983069 UYE983068:UYH983069 VIA983068:VID983069 VRW983068:VRZ983069 WBS983068:WBV983069 WLO983068:WLR983069 WVK983068:WVN983069">
      <formula1>Каркас</formula1>
    </dataValidation>
  </dataValidations>
  <pageMargins left="0.98425196850393704" right="0.19685039370078741" top="0.39370078740157483" bottom="0.39370078740157483" header="0.51181102362204722" footer="0.51181102362204722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topLeftCell="A8" workbookViewId="0">
      <selection activeCell="H15" sqref="H15:H19"/>
    </sheetView>
  </sheetViews>
  <sheetFormatPr defaultRowHeight="12.75"/>
  <cols>
    <col min="1" max="1" width="3.85546875" style="2" customWidth="1"/>
    <col min="2" max="3" width="7.42578125" style="2" customWidth="1"/>
    <col min="4" max="4" width="6.5703125" style="2" customWidth="1"/>
    <col min="5" max="5" width="4.7109375" style="2" customWidth="1"/>
    <col min="6" max="6" width="5.7109375" style="2" customWidth="1"/>
    <col min="7" max="7" width="31.140625" style="2" customWidth="1"/>
    <col min="8" max="8" width="8.5703125" style="2" customWidth="1"/>
    <col min="9" max="9" width="10.140625" style="2" customWidth="1"/>
    <col min="10" max="10" width="9.5703125" style="2" bestFit="1" customWidth="1"/>
    <col min="11" max="256" width="9.140625" style="2"/>
    <col min="257" max="257" width="3.85546875" style="2" customWidth="1"/>
    <col min="258" max="259" width="7.42578125" style="2" customWidth="1"/>
    <col min="260" max="260" width="6.5703125" style="2" customWidth="1"/>
    <col min="261" max="261" width="4.7109375" style="2" customWidth="1"/>
    <col min="262" max="262" width="5.7109375" style="2" customWidth="1"/>
    <col min="263" max="263" width="31.140625" style="2" customWidth="1"/>
    <col min="264" max="264" width="8.5703125" style="2" customWidth="1"/>
    <col min="265" max="265" width="10.140625" style="2" customWidth="1"/>
    <col min="266" max="266" width="9.5703125" style="2" bestFit="1" customWidth="1"/>
    <col min="267" max="512" width="9.140625" style="2"/>
    <col min="513" max="513" width="3.85546875" style="2" customWidth="1"/>
    <col min="514" max="515" width="7.42578125" style="2" customWidth="1"/>
    <col min="516" max="516" width="6.5703125" style="2" customWidth="1"/>
    <col min="517" max="517" width="4.7109375" style="2" customWidth="1"/>
    <col min="518" max="518" width="5.7109375" style="2" customWidth="1"/>
    <col min="519" max="519" width="31.140625" style="2" customWidth="1"/>
    <col min="520" max="520" width="8.5703125" style="2" customWidth="1"/>
    <col min="521" max="521" width="10.140625" style="2" customWidth="1"/>
    <col min="522" max="522" width="9.5703125" style="2" bestFit="1" customWidth="1"/>
    <col min="523" max="768" width="9.140625" style="2"/>
    <col min="769" max="769" width="3.85546875" style="2" customWidth="1"/>
    <col min="770" max="771" width="7.42578125" style="2" customWidth="1"/>
    <col min="772" max="772" width="6.5703125" style="2" customWidth="1"/>
    <col min="773" max="773" width="4.7109375" style="2" customWidth="1"/>
    <col min="774" max="774" width="5.7109375" style="2" customWidth="1"/>
    <col min="775" max="775" width="31.140625" style="2" customWidth="1"/>
    <col min="776" max="776" width="8.5703125" style="2" customWidth="1"/>
    <col min="777" max="777" width="10.140625" style="2" customWidth="1"/>
    <col min="778" max="778" width="9.5703125" style="2" bestFit="1" customWidth="1"/>
    <col min="779" max="1024" width="9.140625" style="2"/>
    <col min="1025" max="1025" width="3.85546875" style="2" customWidth="1"/>
    <col min="1026" max="1027" width="7.42578125" style="2" customWidth="1"/>
    <col min="1028" max="1028" width="6.5703125" style="2" customWidth="1"/>
    <col min="1029" max="1029" width="4.7109375" style="2" customWidth="1"/>
    <col min="1030" max="1030" width="5.7109375" style="2" customWidth="1"/>
    <col min="1031" max="1031" width="31.140625" style="2" customWidth="1"/>
    <col min="1032" max="1032" width="8.5703125" style="2" customWidth="1"/>
    <col min="1033" max="1033" width="10.140625" style="2" customWidth="1"/>
    <col min="1034" max="1034" width="9.5703125" style="2" bestFit="1" customWidth="1"/>
    <col min="1035" max="1280" width="9.140625" style="2"/>
    <col min="1281" max="1281" width="3.85546875" style="2" customWidth="1"/>
    <col min="1282" max="1283" width="7.42578125" style="2" customWidth="1"/>
    <col min="1284" max="1284" width="6.5703125" style="2" customWidth="1"/>
    <col min="1285" max="1285" width="4.7109375" style="2" customWidth="1"/>
    <col min="1286" max="1286" width="5.7109375" style="2" customWidth="1"/>
    <col min="1287" max="1287" width="31.140625" style="2" customWidth="1"/>
    <col min="1288" max="1288" width="8.5703125" style="2" customWidth="1"/>
    <col min="1289" max="1289" width="10.140625" style="2" customWidth="1"/>
    <col min="1290" max="1290" width="9.5703125" style="2" bestFit="1" customWidth="1"/>
    <col min="1291" max="1536" width="9.140625" style="2"/>
    <col min="1537" max="1537" width="3.85546875" style="2" customWidth="1"/>
    <col min="1538" max="1539" width="7.42578125" style="2" customWidth="1"/>
    <col min="1540" max="1540" width="6.5703125" style="2" customWidth="1"/>
    <col min="1541" max="1541" width="4.7109375" style="2" customWidth="1"/>
    <col min="1542" max="1542" width="5.7109375" style="2" customWidth="1"/>
    <col min="1543" max="1543" width="31.140625" style="2" customWidth="1"/>
    <col min="1544" max="1544" width="8.5703125" style="2" customWidth="1"/>
    <col min="1545" max="1545" width="10.140625" style="2" customWidth="1"/>
    <col min="1546" max="1546" width="9.5703125" style="2" bestFit="1" customWidth="1"/>
    <col min="1547" max="1792" width="9.140625" style="2"/>
    <col min="1793" max="1793" width="3.85546875" style="2" customWidth="1"/>
    <col min="1794" max="1795" width="7.42578125" style="2" customWidth="1"/>
    <col min="1796" max="1796" width="6.5703125" style="2" customWidth="1"/>
    <col min="1797" max="1797" width="4.7109375" style="2" customWidth="1"/>
    <col min="1798" max="1798" width="5.7109375" style="2" customWidth="1"/>
    <col min="1799" max="1799" width="31.140625" style="2" customWidth="1"/>
    <col min="1800" max="1800" width="8.5703125" style="2" customWidth="1"/>
    <col min="1801" max="1801" width="10.140625" style="2" customWidth="1"/>
    <col min="1802" max="1802" width="9.5703125" style="2" bestFit="1" customWidth="1"/>
    <col min="1803" max="2048" width="9.140625" style="2"/>
    <col min="2049" max="2049" width="3.85546875" style="2" customWidth="1"/>
    <col min="2050" max="2051" width="7.42578125" style="2" customWidth="1"/>
    <col min="2052" max="2052" width="6.5703125" style="2" customWidth="1"/>
    <col min="2053" max="2053" width="4.7109375" style="2" customWidth="1"/>
    <col min="2054" max="2054" width="5.7109375" style="2" customWidth="1"/>
    <col min="2055" max="2055" width="31.140625" style="2" customWidth="1"/>
    <col min="2056" max="2056" width="8.5703125" style="2" customWidth="1"/>
    <col min="2057" max="2057" width="10.140625" style="2" customWidth="1"/>
    <col min="2058" max="2058" width="9.5703125" style="2" bestFit="1" customWidth="1"/>
    <col min="2059" max="2304" width="9.140625" style="2"/>
    <col min="2305" max="2305" width="3.85546875" style="2" customWidth="1"/>
    <col min="2306" max="2307" width="7.42578125" style="2" customWidth="1"/>
    <col min="2308" max="2308" width="6.5703125" style="2" customWidth="1"/>
    <col min="2309" max="2309" width="4.7109375" style="2" customWidth="1"/>
    <col min="2310" max="2310" width="5.7109375" style="2" customWidth="1"/>
    <col min="2311" max="2311" width="31.140625" style="2" customWidth="1"/>
    <col min="2312" max="2312" width="8.5703125" style="2" customWidth="1"/>
    <col min="2313" max="2313" width="10.140625" style="2" customWidth="1"/>
    <col min="2314" max="2314" width="9.5703125" style="2" bestFit="1" customWidth="1"/>
    <col min="2315" max="2560" width="9.140625" style="2"/>
    <col min="2561" max="2561" width="3.85546875" style="2" customWidth="1"/>
    <col min="2562" max="2563" width="7.42578125" style="2" customWidth="1"/>
    <col min="2564" max="2564" width="6.5703125" style="2" customWidth="1"/>
    <col min="2565" max="2565" width="4.7109375" style="2" customWidth="1"/>
    <col min="2566" max="2566" width="5.7109375" style="2" customWidth="1"/>
    <col min="2567" max="2567" width="31.140625" style="2" customWidth="1"/>
    <col min="2568" max="2568" width="8.5703125" style="2" customWidth="1"/>
    <col min="2569" max="2569" width="10.140625" style="2" customWidth="1"/>
    <col min="2570" max="2570" width="9.5703125" style="2" bestFit="1" customWidth="1"/>
    <col min="2571" max="2816" width="9.140625" style="2"/>
    <col min="2817" max="2817" width="3.85546875" style="2" customWidth="1"/>
    <col min="2818" max="2819" width="7.42578125" style="2" customWidth="1"/>
    <col min="2820" max="2820" width="6.5703125" style="2" customWidth="1"/>
    <col min="2821" max="2821" width="4.7109375" style="2" customWidth="1"/>
    <col min="2822" max="2822" width="5.7109375" style="2" customWidth="1"/>
    <col min="2823" max="2823" width="31.140625" style="2" customWidth="1"/>
    <col min="2824" max="2824" width="8.5703125" style="2" customWidth="1"/>
    <col min="2825" max="2825" width="10.140625" style="2" customWidth="1"/>
    <col min="2826" max="2826" width="9.5703125" style="2" bestFit="1" customWidth="1"/>
    <col min="2827" max="3072" width="9.140625" style="2"/>
    <col min="3073" max="3073" width="3.85546875" style="2" customWidth="1"/>
    <col min="3074" max="3075" width="7.42578125" style="2" customWidth="1"/>
    <col min="3076" max="3076" width="6.5703125" style="2" customWidth="1"/>
    <col min="3077" max="3077" width="4.7109375" style="2" customWidth="1"/>
    <col min="3078" max="3078" width="5.7109375" style="2" customWidth="1"/>
    <col min="3079" max="3079" width="31.140625" style="2" customWidth="1"/>
    <col min="3080" max="3080" width="8.5703125" style="2" customWidth="1"/>
    <col min="3081" max="3081" width="10.140625" style="2" customWidth="1"/>
    <col min="3082" max="3082" width="9.5703125" style="2" bestFit="1" customWidth="1"/>
    <col min="3083" max="3328" width="9.140625" style="2"/>
    <col min="3329" max="3329" width="3.85546875" style="2" customWidth="1"/>
    <col min="3330" max="3331" width="7.42578125" style="2" customWidth="1"/>
    <col min="3332" max="3332" width="6.5703125" style="2" customWidth="1"/>
    <col min="3333" max="3333" width="4.7109375" style="2" customWidth="1"/>
    <col min="3334" max="3334" width="5.7109375" style="2" customWidth="1"/>
    <col min="3335" max="3335" width="31.140625" style="2" customWidth="1"/>
    <col min="3336" max="3336" width="8.5703125" style="2" customWidth="1"/>
    <col min="3337" max="3337" width="10.140625" style="2" customWidth="1"/>
    <col min="3338" max="3338" width="9.5703125" style="2" bestFit="1" customWidth="1"/>
    <col min="3339" max="3584" width="9.140625" style="2"/>
    <col min="3585" max="3585" width="3.85546875" style="2" customWidth="1"/>
    <col min="3586" max="3587" width="7.42578125" style="2" customWidth="1"/>
    <col min="3588" max="3588" width="6.5703125" style="2" customWidth="1"/>
    <col min="3589" max="3589" width="4.7109375" style="2" customWidth="1"/>
    <col min="3590" max="3590" width="5.7109375" style="2" customWidth="1"/>
    <col min="3591" max="3591" width="31.140625" style="2" customWidth="1"/>
    <col min="3592" max="3592" width="8.5703125" style="2" customWidth="1"/>
    <col min="3593" max="3593" width="10.140625" style="2" customWidth="1"/>
    <col min="3594" max="3594" width="9.5703125" style="2" bestFit="1" customWidth="1"/>
    <col min="3595" max="3840" width="9.140625" style="2"/>
    <col min="3841" max="3841" width="3.85546875" style="2" customWidth="1"/>
    <col min="3842" max="3843" width="7.42578125" style="2" customWidth="1"/>
    <col min="3844" max="3844" width="6.5703125" style="2" customWidth="1"/>
    <col min="3845" max="3845" width="4.7109375" style="2" customWidth="1"/>
    <col min="3846" max="3846" width="5.7109375" style="2" customWidth="1"/>
    <col min="3847" max="3847" width="31.140625" style="2" customWidth="1"/>
    <col min="3848" max="3848" width="8.5703125" style="2" customWidth="1"/>
    <col min="3849" max="3849" width="10.140625" style="2" customWidth="1"/>
    <col min="3850" max="3850" width="9.5703125" style="2" bestFit="1" customWidth="1"/>
    <col min="3851" max="4096" width="9.140625" style="2"/>
    <col min="4097" max="4097" width="3.85546875" style="2" customWidth="1"/>
    <col min="4098" max="4099" width="7.42578125" style="2" customWidth="1"/>
    <col min="4100" max="4100" width="6.5703125" style="2" customWidth="1"/>
    <col min="4101" max="4101" width="4.7109375" style="2" customWidth="1"/>
    <col min="4102" max="4102" width="5.7109375" style="2" customWidth="1"/>
    <col min="4103" max="4103" width="31.140625" style="2" customWidth="1"/>
    <col min="4104" max="4104" width="8.5703125" style="2" customWidth="1"/>
    <col min="4105" max="4105" width="10.140625" style="2" customWidth="1"/>
    <col min="4106" max="4106" width="9.5703125" style="2" bestFit="1" customWidth="1"/>
    <col min="4107" max="4352" width="9.140625" style="2"/>
    <col min="4353" max="4353" width="3.85546875" style="2" customWidth="1"/>
    <col min="4354" max="4355" width="7.42578125" style="2" customWidth="1"/>
    <col min="4356" max="4356" width="6.5703125" style="2" customWidth="1"/>
    <col min="4357" max="4357" width="4.7109375" style="2" customWidth="1"/>
    <col min="4358" max="4358" width="5.7109375" style="2" customWidth="1"/>
    <col min="4359" max="4359" width="31.140625" style="2" customWidth="1"/>
    <col min="4360" max="4360" width="8.5703125" style="2" customWidth="1"/>
    <col min="4361" max="4361" width="10.140625" style="2" customWidth="1"/>
    <col min="4362" max="4362" width="9.5703125" style="2" bestFit="1" customWidth="1"/>
    <col min="4363" max="4608" width="9.140625" style="2"/>
    <col min="4609" max="4609" width="3.85546875" style="2" customWidth="1"/>
    <col min="4610" max="4611" width="7.42578125" style="2" customWidth="1"/>
    <col min="4612" max="4612" width="6.5703125" style="2" customWidth="1"/>
    <col min="4613" max="4613" width="4.7109375" style="2" customWidth="1"/>
    <col min="4614" max="4614" width="5.7109375" style="2" customWidth="1"/>
    <col min="4615" max="4615" width="31.140625" style="2" customWidth="1"/>
    <col min="4616" max="4616" width="8.5703125" style="2" customWidth="1"/>
    <col min="4617" max="4617" width="10.140625" style="2" customWidth="1"/>
    <col min="4618" max="4618" width="9.5703125" style="2" bestFit="1" customWidth="1"/>
    <col min="4619" max="4864" width="9.140625" style="2"/>
    <col min="4865" max="4865" width="3.85546875" style="2" customWidth="1"/>
    <col min="4866" max="4867" width="7.42578125" style="2" customWidth="1"/>
    <col min="4868" max="4868" width="6.5703125" style="2" customWidth="1"/>
    <col min="4869" max="4869" width="4.7109375" style="2" customWidth="1"/>
    <col min="4870" max="4870" width="5.7109375" style="2" customWidth="1"/>
    <col min="4871" max="4871" width="31.140625" style="2" customWidth="1"/>
    <col min="4872" max="4872" width="8.5703125" style="2" customWidth="1"/>
    <col min="4873" max="4873" width="10.140625" style="2" customWidth="1"/>
    <col min="4874" max="4874" width="9.5703125" style="2" bestFit="1" customWidth="1"/>
    <col min="4875" max="5120" width="9.140625" style="2"/>
    <col min="5121" max="5121" width="3.85546875" style="2" customWidth="1"/>
    <col min="5122" max="5123" width="7.42578125" style="2" customWidth="1"/>
    <col min="5124" max="5124" width="6.5703125" style="2" customWidth="1"/>
    <col min="5125" max="5125" width="4.7109375" style="2" customWidth="1"/>
    <col min="5126" max="5126" width="5.7109375" style="2" customWidth="1"/>
    <col min="5127" max="5127" width="31.140625" style="2" customWidth="1"/>
    <col min="5128" max="5128" width="8.5703125" style="2" customWidth="1"/>
    <col min="5129" max="5129" width="10.140625" style="2" customWidth="1"/>
    <col min="5130" max="5130" width="9.5703125" style="2" bestFit="1" customWidth="1"/>
    <col min="5131" max="5376" width="9.140625" style="2"/>
    <col min="5377" max="5377" width="3.85546875" style="2" customWidth="1"/>
    <col min="5378" max="5379" width="7.42578125" style="2" customWidth="1"/>
    <col min="5380" max="5380" width="6.5703125" style="2" customWidth="1"/>
    <col min="5381" max="5381" width="4.7109375" style="2" customWidth="1"/>
    <col min="5382" max="5382" width="5.7109375" style="2" customWidth="1"/>
    <col min="5383" max="5383" width="31.140625" style="2" customWidth="1"/>
    <col min="5384" max="5384" width="8.5703125" style="2" customWidth="1"/>
    <col min="5385" max="5385" width="10.140625" style="2" customWidth="1"/>
    <col min="5386" max="5386" width="9.5703125" style="2" bestFit="1" customWidth="1"/>
    <col min="5387" max="5632" width="9.140625" style="2"/>
    <col min="5633" max="5633" width="3.85546875" style="2" customWidth="1"/>
    <col min="5634" max="5635" width="7.42578125" style="2" customWidth="1"/>
    <col min="5636" max="5636" width="6.5703125" style="2" customWidth="1"/>
    <col min="5637" max="5637" width="4.7109375" style="2" customWidth="1"/>
    <col min="5638" max="5638" width="5.7109375" style="2" customWidth="1"/>
    <col min="5639" max="5639" width="31.140625" style="2" customWidth="1"/>
    <col min="5640" max="5640" width="8.5703125" style="2" customWidth="1"/>
    <col min="5641" max="5641" width="10.140625" style="2" customWidth="1"/>
    <col min="5642" max="5642" width="9.5703125" style="2" bestFit="1" customWidth="1"/>
    <col min="5643" max="5888" width="9.140625" style="2"/>
    <col min="5889" max="5889" width="3.85546875" style="2" customWidth="1"/>
    <col min="5890" max="5891" width="7.42578125" style="2" customWidth="1"/>
    <col min="5892" max="5892" width="6.5703125" style="2" customWidth="1"/>
    <col min="5893" max="5893" width="4.7109375" style="2" customWidth="1"/>
    <col min="5894" max="5894" width="5.7109375" style="2" customWidth="1"/>
    <col min="5895" max="5895" width="31.140625" style="2" customWidth="1"/>
    <col min="5896" max="5896" width="8.5703125" style="2" customWidth="1"/>
    <col min="5897" max="5897" width="10.140625" style="2" customWidth="1"/>
    <col min="5898" max="5898" width="9.5703125" style="2" bestFit="1" customWidth="1"/>
    <col min="5899" max="6144" width="9.140625" style="2"/>
    <col min="6145" max="6145" width="3.85546875" style="2" customWidth="1"/>
    <col min="6146" max="6147" width="7.42578125" style="2" customWidth="1"/>
    <col min="6148" max="6148" width="6.5703125" style="2" customWidth="1"/>
    <col min="6149" max="6149" width="4.7109375" style="2" customWidth="1"/>
    <col min="6150" max="6150" width="5.7109375" style="2" customWidth="1"/>
    <col min="6151" max="6151" width="31.140625" style="2" customWidth="1"/>
    <col min="6152" max="6152" width="8.5703125" style="2" customWidth="1"/>
    <col min="6153" max="6153" width="10.140625" style="2" customWidth="1"/>
    <col min="6154" max="6154" width="9.5703125" style="2" bestFit="1" customWidth="1"/>
    <col min="6155" max="6400" width="9.140625" style="2"/>
    <col min="6401" max="6401" width="3.85546875" style="2" customWidth="1"/>
    <col min="6402" max="6403" width="7.42578125" style="2" customWidth="1"/>
    <col min="6404" max="6404" width="6.5703125" style="2" customWidth="1"/>
    <col min="6405" max="6405" width="4.7109375" style="2" customWidth="1"/>
    <col min="6406" max="6406" width="5.7109375" style="2" customWidth="1"/>
    <col min="6407" max="6407" width="31.140625" style="2" customWidth="1"/>
    <col min="6408" max="6408" width="8.5703125" style="2" customWidth="1"/>
    <col min="6409" max="6409" width="10.140625" style="2" customWidth="1"/>
    <col min="6410" max="6410" width="9.5703125" style="2" bestFit="1" customWidth="1"/>
    <col min="6411" max="6656" width="9.140625" style="2"/>
    <col min="6657" max="6657" width="3.85546875" style="2" customWidth="1"/>
    <col min="6658" max="6659" width="7.42578125" style="2" customWidth="1"/>
    <col min="6660" max="6660" width="6.5703125" style="2" customWidth="1"/>
    <col min="6661" max="6661" width="4.7109375" style="2" customWidth="1"/>
    <col min="6662" max="6662" width="5.7109375" style="2" customWidth="1"/>
    <col min="6663" max="6663" width="31.140625" style="2" customWidth="1"/>
    <col min="6664" max="6664" width="8.5703125" style="2" customWidth="1"/>
    <col min="6665" max="6665" width="10.140625" style="2" customWidth="1"/>
    <col min="6666" max="6666" width="9.5703125" style="2" bestFit="1" customWidth="1"/>
    <col min="6667" max="6912" width="9.140625" style="2"/>
    <col min="6913" max="6913" width="3.85546875" style="2" customWidth="1"/>
    <col min="6914" max="6915" width="7.42578125" style="2" customWidth="1"/>
    <col min="6916" max="6916" width="6.5703125" style="2" customWidth="1"/>
    <col min="6917" max="6917" width="4.7109375" style="2" customWidth="1"/>
    <col min="6918" max="6918" width="5.7109375" style="2" customWidth="1"/>
    <col min="6919" max="6919" width="31.140625" style="2" customWidth="1"/>
    <col min="6920" max="6920" width="8.5703125" style="2" customWidth="1"/>
    <col min="6921" max="6921" width="10.140625" style="2" customWidth="1"/>
    <col min="6922" max="6922" width="9.5703125" style="2" bestFit="1" customWidth="1"/>
    <col min="6923" max="7168" width="9.140625" style="2"/>
    <col min="7169" max="7169" width="3.85546875" style="2" customWidth="1"/>
    <col min="7170" max="7171" width="7.42578125" style="2" customWidth="1"/>
    <col min="7172" max="7172" width="6.5703125" style="2" customWidth="1"/>
    <col min="7173" max="7173" width="4.7109375" style="2" customWidth="1"/>
    <col min="7174" max="7174" width="5.7109375" style="2" customWidth="1"/>
    <col min="7175" max="7175" width="31.140625" style="2" customWidth="1"/>
    <col min="7176" max="7176" width="8.5703125" style="2" customWidth="1"/>
    <col min="7177" max="7177" width="10.140625" style="2" customWidth="1"/>
    <col min="7178" max="7178" width="9.5703125" style="2" bestFit="1" customWidth="1"/>
    <col min="7179" max="7424" width="9.140625" style="2"/>
    <col min="7425" max="7425" width="3.85546875" style="2" customWidth="1"/>
    <col min="7426" max="7427" width="7.42578125" style="2" customWidth="1"/>
    <col min="7428" max="7428" width="6.5703125" style="2" customWidth="1"/>
    <col min="7429" max="7429" width="4.7109375" style="2" customWidth="1"/>
    <col min="7430" max="7430" width="5.7109375" style="2" customWidth="1"/>
    <col min="7431" max="7431" width="31.140625" style="2" customWidth="1"/>
    <col min="7432" max="7432" width="8.5703125" style="2" customWidth="1"/>
    <col min="7433" max="7433" width="10.140625" style="2" customWidth="1"/>
    <col min="7434" max="7434" width="9.5703125" style="2" bestFit="1" customWidth="1"/>
    <col min="7435" max="7680" width="9.140625" style="2"/>
    <col min="7681" max="7681" width="3.85546875" style="2" customWidth="1"/>
    <col min="7682" max="7683" width="7.42578125" style="2" customWidth="1"/>
    <col min="7684" max="7684" width="6.5703125" style="2" customWidth="1"/>
    <col min="7685" max="7685" width="4.7109375" style="2" customWidth="1"/>
    <col min="7686" max="7686" width="5.7109375" style="2" customWidth="1"/>
    <col min="7687" max="7687" width="31.140625" style="2" customWidth="1"/>
    <col min="7688" max="7688" width="8.5703125" style="2" customWidth="1"/>
    <col min="7689" max="7689" width="10.140625" style="2" customWidth="1"/>
    <col min="7690" max="7690" width="9.5703125" style="2" bestFit="1" customWidth="1"/>
    <col min="7691" max="7936" width="9.140625" style="2"/>
    <col min="7937" max="7937" width="3.85546875" style="2" customWidth="1"/>
    <col min="7938" max="7939" width="7.42578125" style="2" customWidth="1"/>
    <col min="7940" max="7940" width="6.5703125" style="2" customWidth="1"/>
    <col min="7941" max="7941" width="4.7109375" style="2" customWidth="1"/>
    <col min="7942" max="7942" width="5.7109375" style="2" customWidth="1"/>
    <col min="7943" max="7943" width="31.140625" style="2" customWidth="1"/>
    <col min="7944" max="7944" width="8.5703125" style="2" customWidth="1"/>
    <col min="7945" max="7945" width="10.140625" style="2" customWidth="1"/>
    <col min="7946" max="7946" width="9.5703125" style="2" bestFit="1" customWidth="1"/>
    <col min="7947" max="8192" width="9.140625" style="2"/>
    <col min="8193" max="8193" width="3.85546875" style="2" customWidth="1"/>
    <col min="8194" max="8195" width="7.42578125" style="2" customWidth="1"/>
    <col min="8196" max="8196" width="6.5703125" style="2" customWidth="1"/>
    <col min="8197" max="8197" width="4.7109375" style="2" customWidth="1"/>
    <col min="8198" max="8198" width="5.7109375" style="2" customWidth="1"/>
    <col min="8199" max="8199" width="31.140625" style="2" customWidth="1"/>
    <col min="8200" max="8200" width="8.5703125" style="2" customWidth="1"/>
    <col min="8201" max="8201" width="10.140625" style="2" customWidth="1"/>
    <col min="8202" max="8202" width="9.5703125" style="2" bestFit="1" customWidth="1"/>
    <col min="8203" max="8448" width="9.140625" style="2"/>
    <col min="8449" max="8449" width="3.85546875" style="2" customWidth="1"/>
    <col min="8450" max="8451" width="7.42578125" style="2" customWidth="1"/>
    <col min="8452" max="8452" width="6.5703125" style="2" customWidth="1"/>
    <col min="8453" max="8453" width="4.7109375" style="2" customWidth="1"/>
    <col min="8454" max="8454" width="5.7109375" style="2" customWidth="1"/>
    <col min="8455" max="8455" width="31.140625" style="2" customWidth="1"/>
    <col min="8456" max="8456" width="8.5703125" style="2" customWidth="1"/>
    <col min="8457" max="8457" width="10.140625" style="2" customWidth="1"/>
    <col min="8458" max="8458" width="9.5703125" style="2" bestFit="1" customWidth="1"/>
    <col min="8459" max="8704" width="9.140625" style="2"/>
    <col min="8705" max="8705" width="3.85546875" style="2" customWidth="1"/>
    <col min="8706" max="8707" width="7.42578125" style="2" customWidth="1"/>
    <col min="8708" max="8708" width="6.5703125" style="2" customWidth="1"/>
    <col min="8709" max="8709" width="4.7109375" style="2" customWidth="1"/>
    <col min="8710" max="8710" width="5.7109375" style="2" customWidth="1"/>
    <col min="8711" max="8711" width="31.140625" style="2" customWidth="1"/>
    <col min="8712" max="8712" width="8.5703125" style="2" customWidth="1"/>
    <col min="8713" max="8713" width="10.140625" style="2" customWidth="1"/>
    <col min="8714" max="8714" width="9.5703125" style="2" bestFit="1" customWidth="1"/>
    <col min="8715" max="8960" width="9.140625" style="2"/>
    <col min="8961" max="8961" width="3.85546875" style="2" customWidth="1"/>
    <col min="8962" max="8963" width="7.42578125" style="2" customWidth="1"/>
    <col min="8964" max="8964" width="6.5703125" style="2" customWidth="1"/>
    <col min="8965" max="8965" width="4.7109375" style="2" customWidth="1"/>
    <col min="8966" max="8966" width="5.7109375" style="2" customWidth="1"/>
    <col min="8967" max="8967" width="31.140625" style="2" customWidth="1"/>
    <col min="8968" max="8968" width="8.5703125" style="2" customWidth="1"/>
    <col min="8969" max="8969" width="10.140625" style="2" customWidth="1"/>
    <col min="8970" max="8970" width="9.5703125" style="2" bestFit="1" customWidth="1"/>
    <col min="8971" max="9216" width="9.140625" style="2"/>
    <col min="9217" max="9217" width="3.85546875" style="2" customWidth="1"/>
    <col min="9218" max="9219" width="7.42578125" style="2" customWidth="1"/>
    <col min="9220" max="9220" width="6.5703125" style="2" customWidth="1"/>
    <col min="9221" max="9221" width="4.7109375" style="2" customWidth="1"/>
    <col min="9222" max="9222" width="5.7109375" style="2" customWidth="1"/>
    <col min="9223" max="9223" width="31.140625" style="2" customWidth="1"/>
    <col min="9224" max="9224" width="8.5703125" style="2" customWidth="1"/>
    <col min="9225" max="9225" width="10.140625" style="2" customWidth="1"/>
    <col min="9226" max="9226" width="9.5703125" style="2" bestFit="1" customWidth="1"/>
    <col min="9227" max="9472" width="9.140625" style="2"/>
    <col min="9473" max="9473" width="3.85546875" style="2" customWidth="1"/>
    <col min="9474" max="9475" width="7.42578125" style="2" customWidth="1"/>
    <col min="9476" max="9476" width="6.5703125" style="2" customWidth="1"/>
    <col min="9477" max="9477" width="4.7109375" style="2" customWidth="1"/>
    <col min="9478" max="9478" width="5.7109375" style="2" customWidth="1"/>
    <col min="9479" max="9479" width="31.140625" style="2" customWidth="1"/>
    <col min="9480" max="9480" width="8.5703125" style="2" customWidth="1"/>
    <col min="9481" max="9481" width="10.140625" style="2" customWidth="1"/>
    <col min="9482" max="9482" width="9.5703125" style="2" bestFit="1" customWidth="1"/>
    <col min="9483" max="9728" width="9.140625" style="2"/>
    <col min="9729" max="9729" width="3.85546875" style="2" customWidth="1"/>
    <col min="9730" max="9731" width="7.42578125" style="2" customWidth="1"/>
    <col min="9732" max="9732" width="6.5703125" style="2" customWidth="1"/>
    <col min="9733" max="9733" width="4.7109375" style="2" customWidth="1"/>
    <col min="9734" max="9734" width="5.7109375" style="2" customWidth="1"/>
    <col min="9735" max="9735" width="31.140625" style="2" customWidth="1"/>
    <col min="9736" max="9736" width="8.5703125" style="2" customWidth="1"/>
    <col min="9737" max="9737" width="10.140625" style="2" customWidth="1"/>
    <col min="9738" max="9738" width="9.5703125" style="2" bestFit="1" customWidth="1"/>
    <col min="9739" max="9984" width="9.140625" style="2"/>
    <col min="9985" max="9985" width="3.85546875" style="2" customWidth="1"/>
    <col min="9986" max="9987" width="7.42578125" style="2" customWidth="1"/>
    <col min="9988" max="9988" width="6.5703125" style="2" customWidth="1"/>
    <col min="9989" max="9989" width="4.7109375" style="2" customWidth="1"/>
    <col min="9990" max="9990" width="5.7109375" style="2" customWidth="1"/>
    <col min="9991" max="9991" width="31.140625" style="2" customWidth="1"/>
    <col min="9992" max="9992" width="8.5703125" style="2" customWidth="1"/>
    <col min="9993" max="9993" width="10.140625" style="2" customWidth="1"/>
    <col min="9994" max="9994" width="9.5703125" style="2" bestFit="1" customWidth="1"/>
    <col min="9995" max="10240" width="9.140625" style="2"/>
    <col min="10241" max="10241" width="3.85546875" style="2" customWidth="1"/>
    <col min="10242" max="10243" width="7.42578125" style="2" customWidth="1"/>
    <col min="10244" max="10244" width="6.5703125" style="2" customWidth="1"/>
    <col min="10245" max="10245" width="4.7109375" style="2" customWidth="1"/>
    <col min="10246" max="10246" width="5.7109375" style="2" customWidth="1"/>
    <col min="10247" max="10247" width="31.140625" style="2" customWidth="1"/>
    <col min="10248" max="10248" width="8.5703125" style="2" customWidth="1"/>
    <col min="10249" max="10249" width="10.140625" style="2" customWidth="1"/>
    <col min="10250" max="10250" width="9.5703125" style="2" bestFit="1" customWidth="1"/>
    <col min="10251" max="10496" width="9.140625" style="2"/>
    <col min="10497" max="10497" width="3.85546875" style="2" customWidth="1"/>
    <col min="10498" max="10499" width="7.42578125" style="2" customWidth="1"/>
    <col min="10500" max="10500" width="6.5703125" style="2" customWidth="1"/>
    <col min="10501" max="10501" width="4.7109375" style="2" customWidth="1"/>
    <col min="10502" max="10502" width="5.7109375" style="2" customWidth="1"/>
    <col min="10503" max="10503" width="31.140625" style="2" customWidth="1"/>
    <col min="10504" max="10504" width="8.5703125" style="2" customWidth="1"/>
    <col min="10505" max="10505" width="10.140625" style="2" customWidth="1"/>
    <col min="10506" max="10506" width="9.5703125" style="2" bestFit="1" customWidth="1"/>
    <col min="10507" max="10752" width="9.140625" style="2"/>
    <col min="10753" max="10753" width="3.85546875" style="2" customWidth="1"/>
    <col min="10754" max="10755" width="7.42578125" style="2" customWidth="1"/>
    <col min="10756" max="10756" width="6.5703125" style="2" customWidth="1"/>
    <col min="10757" max="10757" width="4.7109375" style="2" customWidth="1"/>
    <col min="10758" max="10758" width="5.7109375" style="2" customWidth="1"/>
    <col min="10759" max="10759" width="31.140625" style="2" customWidth="1"/>
    <col min="10760" max="10760" width="8.5703125" style="2" customWidth="1"/>
    <col min="10761" max="10761" width="10.140625" style="2" customWidth="1"/>
    <col min="10762" max="10762" width="9.5703125" style="2" bestFit="1" customWidth="1"/>
    <col min="10763" max="11008" width="9.140625" style="2"/>
    <col min="11009" max="11009" width="3.85546875" style="2" customWidth="1"/>
    <col min="11010" max="11011" width="7.42578125" style="2" customWidth="1"/>
    <col min="11012" max="11012" width="6.5703125" style="2" customWidth="1"/>
    <col min="11013" max="11013" width="4.7109375" style="2" customWidth="1"/>
    <col min="11014" max="11014" width="5.7109375" style="2" customWidth="1"/>
    <col min="11015" max="11015" width="31.140625" style="2" customWidth="1"/>
    <col min="11016" max="11016" width="8.5703125" style="2" customWidth="1"/>
    <col min="11017" max="11017" width="10.140625" style="2" customWidth="1"/>
    <col min="11018" max="11018" width="9.5703125" style="2" bestFit="1" customWidth="1"/>
    <col min="11019" max="11264" width="9.140625" style="2"/>
    <col min="11265" max="11265" width="3.85546875" style="2" customWidth="1"/>
    <col min="11266" max="11267" width="7.42578125" style="2" customWidth="1"/>
    <col min="11268" max="11268" width="6.5703125" style="2" customWidth="1"/>
    <col min="11269" max="11269" width="4.7109375" style="2" customWidth="1"/>
    <col min="11270" max="11270" width="5.7109375" style="2" customWidth="1"/>
    <col min="11271" max="11271" width="31.140625" style="2" customWidth="1"/>
    <col min="11272" max="11272" width="8.5703125" style="2" customWidth="1"/>
    <col min="11273" max="11273" width="10.140625" style="2" customWidth="1"/>
    <col min="11274" max="11274" width="9.5703125" style="2" bestFit="1" customWidth="1"/>
    <col min="11275" max="11520" width="9.140625" style="2"/>
    <col min="11521" max="11521" width="3.85546875" style="2" customWidth="1"/>
    <col min="11522" max="11523" width="7.42578125" style="2" customWidth="1"/>
    <col min="11524" max="11524" width="6.5703125" style="2" customWidth="1"/>
    <col min="11525" max="11525" width="4.7109375" style="2" customWidth="1"/>
    <col min="11526" max="11526" width="5.7109375" style="2" customWidth="1"/>
    <col min="11527" max="11527" width="31.140625" style="2" customWidth="1"/>
    <col min="11528" max="11528" width="8.5703125" style="2" customWidth="1"/>
    <col min="11529" max="11529" width="10.140625" style="2" customWidth="1"/>
    <col min="11530" max="11530" width="9.5703125" style="2" bestFit="1" customWidth="1"/>
    <col min="11531" max="11776" width="9.140625" style="2"/>
    <col min="11777" max="11777" width="3.85546875" style="2" customWidth="1"/>
    <col min="11778" max="11779" width="7.42578125" style="2" customWidth="1"/>
    <col min="11780" max="11780" width="6.5703125" style="2" customWidth="1"/>
    <col min="11781" max="11781" width="4.7109375" style="2" customWidth="1"/>
    <col min="11782" max="11782" width="5.7109375" style="2" customWidth="1"/>
    <col min="11783" max="11783" width="31.140625" style="2" customWidth="1"/>
    <col min="11784" max="11784" width="8.5703125" style="2" customWidth="1"/>
    <col min="11785" max="11785" width="10.140625" style="2" customWidth="1"/>
    <col min="11786" max="11786" width="9.5703125" style="2" bestFit="1" customWidth="1"/>
    <col min="11787" max="12032" width="9.140625" style="2"/>
    <col min="12033" max="12033" width="3.85546875" style="2" customWidth="1"/>
    <col min="12034" max="12035" width="7.42578125" style="2" customWidth="1"/>
    <col min="12036" max="12036" width="6.5703125" style="2" customWidth="1"/>
    <col min="12037" max="12037" width="4.7109375" style="2" customWidth="1"/>
    <col min="12038" max="12038" width="5.7109375" style="2" customWidth="1"/>
    <col min="12039" max="12039" width="31.140625" style="2" customWidth="1"/>
    <col min="12040" max="12040" width="8.5703125" style="2" customWidth="1"/>
    <col min="12041" max="12041" width="10.140625" style="2" customWidth="1"/>
    <col min="12042" max="12042" width="9.5703125" style="2" bestFit="1" customWidth="1"/>
    <col min="12043" max="12288" width="9.140625" style="2"/>
    <col min="12289" max="12289" width="3.85546875" style="2" customWidth="1"/>
    <col min="12290" max="12291" width="7.42578125" style="2" customWidth="1"/>
    <col min="12292" max="12292" width="6.5703125" style="2" customWidth="1"/>
    <col min="12293" max="12293" width="4.7109375" style="2" customWidth="1"/>
    <col min="12294" max="12294" width="5.7109375" style="2" customWidth="1"/>
    <col min="12295" max="12295" width="31.140625" style="2" customWidth="1"/>
    <col min="12296" max="12296" width="8.5703125" style="2" customWidth="1"/>
    <col min="12297" max="12297" width="10.140625" style="2" customWidth="1"/>
    <col min="12298" max="12298" width="9.5703125" style="2" bestFit="1" customWidth="1"/>
    <col min="12299" max="12544" width="9.140625" style="2"/>
    <col min="12545" max="12545" width="3.85546875" style="2" customWidth="1"/>
    <col min="12546" max="12547" width="7.42578125" style="2" customWidth="1"/>
    <col min="12548" max="12548" width="6.5703125" style="2" customWidth="1"/>
    <col min="12549" max="12549" width="4.7109375" style="2" customWidth="1"/>
    <col min="12550" max="12550" width="5.7109375" style="2" customWidth="1"/>
    <col min="12551" max="12551" width="31.140625" style="2" customWidth="1"/>
    <col min="12552" max="12552" width="8.5703125" style="2" customWidth="1"/>
    <col min="12553" max="12553" width="10.140625" style="2" customWidth="1"/>
    <col min="12554" max="12554" width="9.5703125" style="2" bestFit="1" customWidth="1"/>
    <col min="12555" max="12800" width="9.140625" style="2"/>
    <col min="12801" max="12801" width="3.85546875" style="2" customWidth="1"/>
    <col min="12802" max="12803" width="7.42578125" style="2" customWidth="1"/>
    <col min="12804" max="12804" width="6.5703125" style="2" customWidth="1"/>
    <col min="12805" max="12805" width="4.7109375" style="2" customWidth="1"/>
    <col min="12806" max="12806" width="5.7109375" style="2" customWidth="1"/>
    <col min="12807" max="12807" width="31.140625" style="2" customWidth="1"/>
    <col min="12808" max="12808" width="8.5703125" style="2" customWidth="1"/>
    <col min="12809" max="12809" width="10.140625" style="2" customWidth="1"/>
    <col min="12810" max="12810" width="9.5703125" style="2" bestFit="1" customWidth="1"/>
    <col min="12811" max="13056" width="9.140625" style="2"/>
    <col min="13057" max="13057" width="3.85546875" style="2" customWidth="1"/>
    <col min="13058" max="13059" width="7.42578125" style="2" customWidth="1"/>
    <col min="13060" max="13060" width="6.5703125" style="2" customWidth="1"/>
    <col min="13061" max="13061" width="4.7109375" style="2" customWidth="1"/>
    <col min="13062" max="13062" width="5.7109375" style="2" customWidth="1"/>
    <col min="13063" max="13063" width="31.140625" style="2" customWidth="1"/>
    <col min="13064" max="13064" width="8.5703125" style="2" customWidth="1"/>
    <col min="13065" max="13065" width="10.140625" style="2" customWidth="1"/>
    <col min="13066" max="13066" width="9.5703125" style="2" bestFit="1" customWidth="1"/>
    <col min="13067" max="13312" width="9.140625" style="2"/>
    <col min="13313" max="13313" width="3.85546875" style="2" customWidth="1"/>
    <col min="13314" max="13315" width="7.42578125" style="2" customWidth="1"/>
    <col min="13316" max="13316" width="6.5703125" style="2" customWidth="1"/>
    <col min="13317" max="13317" width="4.7109375" style="2" customWidth="1"/>
    <col min="13318" max="13318" width="5.7109375" style="2" customWidth="1"/>
    <col min="13319" max="13319" width="31.140625" style="2" customWidth="1"/>
    <col min="13320" max="13320" width="8.5703125" style="2" customWidth="1"/>
    <col min="13321" max="13321" width="10.140625" style="2" customWidth="1"/>
    <col min="13322" max="13322" width="9.5703125" style="2" bestFit="1" customWidth="1"/>
    <col min="13323" max="13568" width="9.140625" style="2"/>
    <col min="13569" max="13569" width="3.85546875" style="2" customWidth="1"/>
    <col min="13570" max="13571" width="7.42578125" style="2" customWidth="1"/>
    <col min="13572" max="13572" width="6.5703125" style="2" customWidth="1"/>
    <col min="13573" max="13573" width="4.7109375" style="2" customWidth="1"/>
    <col min="13574" max="13574" width="5.7109375" style="2" customWidth="1"/>
    <col min="13575" max="13575" width="31.140625" style="2" customWidth="1"/>
    <col min="13576" max="13576" width="8.5703125" style="2" customWidth="1"/>
    <col min="13577" max="13577" width="10.140625" style="2" customWidth="1"/>
    <col min="13578" max="13578" width="9.5703125" style="2" bestFit="1" customWidth="1"/>
    <col min="13579" max="13824" width="9.140625" style="2"/>
    <col min="13825" max="13825" width="3.85546875" style="2" customWidth="1"/>
    <col min="13826" max="13827" width="7.42578125" style="2" customWidth="1"/>
    <col min="13828" max="13828" width="6.5703125" style="2" customWidth="1"/>
    <col min="13829" max="13829" width="4.7109375" style="2" customWidth="1"/>
    <col min="13830" max="13830" width="5.7109375" style="2" customWidth="1"/>
    <col min="13831" max="13831" width="31.140625" style="2" customWidth="1"/>
    <col min="13832" max="13832" width="8.5703125" style="2" customWidth="1"/>
    <col min="13833" max="13833" width="10.140625" style="2" customWidth="1"/>
    <col min="13834" max="13834" width="9.5703125" style="2" bestFit="1" customWidth="1"/>
    <col min="13835" max="14080" width="9.140625" style="2"/>
    <col min="14081" max="14081" width="3.85546875" style="2" customWidth="1"/>
    <col min="14082" max="14083" width="7.42578125" style="2" customWidth="1"/>
    <col min="14084" max="14084" width="6.5703125" style="2" customWidth="1"/>
    <col min="14085" max="14085" width="4.7109375" style="2" customWidth="1"/>
    <col min="14086" max="14086" width="5.7109375" style="2" customWidth="1"/>
    <col min="14087" max="14087" width="31.140625" style="2" customWidth="1"/>
    <col min="14088" max="14088" width="8.5703125" style="2" customWidth="1"/>
    <col min="14089" max="14089" width="10.140625" style="2" customWidth="1"/>
    <col min="14090" max="14090" width="9.5703125" style="2" bestFit="1" customWidth="1"/>
    <col min="14091" max="14336" width="9.140625" style="2"/>
    <col min="14337" max="14337" width="3.85546875" style="2" customWidth="1"/>
    <col min="14338" max="14339" width="7.42578125" style="2" customWidth="1"/>
    <col min="14340" max="14340" width="6.5703125" style="2" customWidth="1"/>
    <col min="14341" max="14341" width="4.7109375" style="2" customWidth="1"/>
    <col min="14342" max="14342" width="5.7109375" style="2" customWidth="1"/>
    <col min="14343" max="14343" width="31.140625" style="2" customWidth="1"/>
    <col min="14344" max="14344" width="8.5703125" style="2" customWidth="1"/>
    <col min="14345" max="14345" width="10.140625" style="2" customWidth="1"/>
    <col min="14346" max="14346" width="9.5703125" style="2" bestFit="1" customWidth="1"/>
    <col min="14347" max="14592" width="9.140625" style="2"/>
    <col min="14593" max="14593" width="3.85546875" style="2" customWidth="1"/>
    <col min="14594" max="14595" width="7.42578125" style="2" customWidth="1"/>
    <col min="14596" max="14596" width="6.5703125" style="2" customWidth="1"/>
    <col min="14597" max="14597" width="4.7109375" style="2" customWidth="1"/>
    <col min="14598" max="14598" width="5.7109375" style="2" customWidth="1"/>
    <col min="14599" max="14599" width="31.140625" style="2" customWidth="1"/>
    <col min="14600" max="14600" width="8.5703125" style="2" customWidth="1"/>
    <col min="14601" max="14601" width="10.140625" style="2" customWidth="1"/>
    <col min="14602" max="14602" width="9.5703125" style="2" bestFit="1" customWidth="1"/>
    <col min="14603" max="14848" width="9.140625" style="2"/>
    <col min="14849" max="14849" width="3.85546875" style="2" customWidth="1"/>
    <col min="14850" max="14851" width="7.42578125" style="2" customWidth="1"/>
    <col min="14852" max="14852" width="6.5703125" style="2" customWidth="1"/>
    <col min="14853" max="14853" width="4.7109375" style="2" customWidth="1"/>
    <col min="14854" max="14854" width="5.7109375" style="2" customWidth="1"/>
    <col min="14855" max="14855" width="31.140625" style="2" customWidth="1"/>
    <col min="14856" max="14856" width="8.5703125" style="2" customWidth="1"/>
    <col min="14857" max="14857" width="10.140625" style="2" customWidth="1"/>
    <col min="14858" max="14858" width="9.5703125" style="2" bestFit="1" customWidth="1"/>
    <col min="14859" max="15104" width="9.140625" style="2"/>
    <col min="15105" max="15105" width="3.85546875" style="2" customWidth="1"/>
    <col min="15106" max="15107" width="7.42578125" style="2" customWidth="1"/>
    <col min="15108" max="15108" width="6.5703125" style="2" customWidth="1"/>
    <col min="15109" max="15109" width="4.7109375" style="2" customWidth="1"/>
    <col min="15110" max="15110" width="5.7109375" style="2" customWidth="1"/>
    <col min="15111" max="15111" width="31.140625" style="2" customWidth="1"/>
    <col min="15112" max="15112" width="8.5703125" style="2" customWidth="1"/>
    <col min="15113" max="15113" width="10.140625" style="2" customWidth="1"/>
    <col min="15114" max="15114" width="9.5703125" style="2" bestFit="1" customWidth="1"/>
    <col min="15115" max="15360" width="9.140625" style="2"/>
    <col min="15361" max="15361" width="3.85546875" style="2" customWidth="1"/>
    <col min="15362" max="15363" width="7.42578125" style="2" customWidth="1"/>
    <col min="15364" max="15364" width="6.5703125" style="2" customWidth="1"/>
    <col min="15365" max="15365" width="4.7109375" style="2" customWidth="1"/>
    <col min="15366" max="15366" width="5.7109375" style="2" customWidth="1"/>
    <col min="15367" max="15367" width="31.140625" style="2" customWidth="1"/>
    <col min="15368" max="15368" width="8.5703125" style="2" customWidth="1"/>
    <col min="15369" max="15369" width="10.140625" style="2" customWidth="1"/>
    <col min="15370" max="15370" width="9.5703125" style="2" bestFit="1" customWidth="1"/>
    <col min="15371" max="15616" width="9.140625" style="2"/>
    <col min="15617" max="15617" width="3.85546875" style="2" customWidth="1"/>
    <col min="15618" max="15619" width="7.42578125" style="2" customWidth="1"/>
    <col min="15620" max="15620" width="6.5703125" style="2" customWidth="1"/>
    <col min="15621" max="15621" width="4.7109375" style="2" customWidth="1"/>
    <col min="15622" max="15622" width="5.7109375" style="2" customWidth="1"/>
    <col min="15623" max="15623" width="31.140625" style="2" customWidth="1"/>
    <col min="15624" max="15624" width="8.5703125" style="2" customWidth="1"/>
    <col min="15625" max="15625" width="10.140625" style="2" customWidth="1"/>
    <col min="15626" max="15626" width="9.5703125" style="2" bestFit="1" customWidth="1"/>
    <col min="15627" max="15872" width="9.140625" style="2"/>
    <col min="15873" max="15873" width="3.85546875" style="2" customWidth="1"/>
    <col min="15874" max="15875" width="7.42578125" style="2" customWidth="1"/>
    <col min="15876" max="15876" width="6.5703125" style="2" customWidth="1"/>
    <col min="15877" max="15877" width="4.7109375" style="2" customWidth="1"/>
    <col min="15878" max="15878" width="5.7109375" style="2" customWidth="1"/>
    <col min="15879" max="15879" width="31.140625" style="2" customWidth="1"/>
    <col min="15880" max="15880" width="8.5703125" style="2" customWidth="1"/>
    <col min="15881" max="15881" width="10.140625" style="2" customWidth="1"/>
    <col min="15882" max="15882" width="9.5703125" style="2" bestFit="1" customWidth="1"/>
    <col min="15883" max="16128" width="9.140625" style="2"/>
    <col min="16129" max="16129" width="3.85546875" style="2" customWidth="1"/>
    <col min="16130" max="16131" width="7.42578125" style="2" customWidth="1"/>
    <col min="16132" max="16132" width="6.5703125" style="2" customWidth="1"/>
    <col min="16133" max="16133" width="4.7109375" style="2" customWidth="1"/>
    <col min="16134" max="16134" width="5.7109375" style="2" customWidth="1"/>
    <col min="16135" max="16135" width="31.140625" style="2" customWidth="1"/>
    <col min="16136" max="16136" width="8.5703125" style="2" customWidth="1"/>
    <col min="16137" max="16137" width="10.140625" style="2" customWidth="1"/>
    <col min="16138" max="16138" width="9.5703125" style="2" bestFit="1" customWidth="1"/>
    <col min="16139" max="16384" width="9.140625" style="2"/>
  </cols>
  <sheetData>
    <row r="1" spans="1:10" ht="23.45" customHeight="1">
      <c r="G1" s="192"/>
      <c r="H1" s="192"/>
      <c r="I1" s="47"/>
    </row>
    <row r="2" spans="1:10">
      <c r="F2" s="193"/>
      <c r="G2" s="193"/>
      <c r="H2" s="193"/>
      <c r="I2" s="193"/>
    </row>
    <row r="4" spans="1:10" ht="13.5" thickBot="1"/>
    <row r="5" spans="1:10" s="48" customFormat="1" ht="15.75" thickBot="1">
      <c r="A5" s="194" t="s">
        <v>39</v>
      </c>
      <c r="B5" s="195"/>
      <c r="C5" s="195"/>
      <c r="D5" s="195"/>
      <c r="E5" s="195"/>
      <c r="F5" s="195"/>
      <c r="G5" s="196"/>
      <c r="H5" s="197" t="s">
        <v>83</v>
      </c>
      <c r="I5" s="198"/>
      <c r="J5" s="199"/>
    </row>
    <row r="6" spans="1:10" s="48" customFormat="1" ht="15.75" thickBot="1">
      <c r="A6" s="186" t="s">
        <v>40</v>
      </c>
      <c r="B6" s="187"/>
      <c r="C6" s="187"/>
      <c r="D6" s="187"/>
      <c r="E6" s="187"/>
      <c r="F6" s="187"/>
      <c r="G6" s="188"/>
      <c r="H6" s="189" t="s">
        <v>41</v>
      </c>
      <c r="I6" s="190"/>
      <c r="J6" s="191"/>
    </row>
    <row r="7" spans="1:10" s="48" customFormat="1" ht="15.75" thickBot="1">
      <c r="A7" s="201" t="s">
        <v>42</v>
      </c>
      <c r="B7" s="202"/>
      <c r="C7" s="202"/>
      <c r="D7" s="202"/>
      <c r="E7" s="202"/>
      <c r="F7" s="202"/>
      <c r="G7" s="203"/>
      <c r="H7" s="189" t="s">
        <v>43</v>
      </c>
      <c r="I7" s="190"/>
      <c r="J7" s="191"/>
    </row>
    <row r="8" spans="1:10">
      <c r="E8" s="204"/>
      <c r="F8" s="204"/>
      <c r="G8" s="204"/>
      <c r="H8" s="204"/>
      <c r="I8" s="204"/>
    </row>
    <row r="9" spans="1:10" ht="18" customHeight="1">
      <c r="A9" s="49" t="s">
        <v>44</v>
      </c>
      <c r="B9" s="49"/>
      <c r="C9" s="205"/>
      <c r="D9" s="205"/>
      <c r="E9" s="205"/>
      <c r="F9" s="205"/>
      <c r="G9" s="206"/>
      <c r="H9" s="50"/>
      <c r="I9" s="50"/>
    </row>
    <row r="10" spans="1:10" ht="15.75" hidden="1">
      <c r="A10" s="51"/>
      <c r="B10" s="51"/>
      <c r="C10" s="50"/>
      <c r="D10" s="50"/>
      <c r="E10" s="50"/>
      <c r="F10" s="50"/>
      <c r="G10" s="50"/>
      <c r="H10" s="50"/>
      <c r="I10" s="50"/>
    </row>
    <row r="11" spans="1:10" ht="1.1499999999999999" customHeight="1">
      <c r="A11" s="51"/>
      <c r="B11" s="51"/>
      <c r="C11" s="52"/>
      <c r="D11" s="51"/>
      <c r="E11" s="51"/>
      <c r="F11" s="51"/>
    </row>
    <row r="12" spans="1:10" ht="1.1499999999999999" customHeight="1">
      <c r="A12" s="51"/>
      <c r="B12" s="51"/>
      <c r="C12" s="52"/>
      <c r="D12" s="51"/>
      <c r="E12" s="51"/>
      <c r="F12" s="51"/>
    </row>
    <row r="13" spans="1:10" ht="1.1499999999999999" customHeight="1" thickBot="1">
      <c r="A13" s="51"/>
      <c r="B13" s="51"/>
      <c r="C13" s="52"/>
      <c r="D13" s="51"/>
      <c r="E13" s="51"/>
      <c r="F13" s="51"/>
    </row>
    <row r="14" spans="1:10" ht="26.25" customHeight="1" thickBot="1">
      <c r="A14" s="53" t="s">
        <v>45</v>
      </c>
      <c r="B14" s="54" t="s">
        <v>46</v>
      </c>
      <c r="C14" s="55" t="s">
        <v>47</v>
      </c>
      <c r="D14" s="55" t="s">
        <v>48</v>
      </c>
      <c r="E14" s="56" t="s">
        <v>49</v>
      </c>
      <c r="F14" s="57" t="s">
        <v>50</v>
      </c>
      <c r="G14" s="57" t="s">
        <v>51</v>
      </c>
      <c r="H14" s="57" t="s">
        <v>52</v>
      </c>
      <c r="I14" s="58" t="s">
        <v>53</v>
      </c>
      <c r="J14" s="58" t="s">
        <v>30</v>
      </c>
    </row>
    <row r="15" spans="1:10" s="48" customFormat="1" ht="14.25" customHeight="1">
      <c r="A15" s="59">
        <v>1</v>
      </c>
      <c r="B15" s="60"/>
      <c r="C15" s="61"/>
      <c r="D15" s="61"/>
      <c r="E15" s="61"/>
      <c r="F15" s="62">
        <v>1</v>
      </c>
      <c r="G15" s="63"/>
      <c r="H15" s="93"/>
      <c r="I15" s="64">
        <f>(C15*D15*E15*F15)/1000000</f>
        <v>0</v>
      </c>
      <c r="J15" s="65">
        <f>H15*I15</f>
        <v>0</v>
      </c>
    </row>
    <row r="16" spans="1:10" s="48" customFormat="1" ht="13.5" customHeight="1">
      <c r="A16" s="66">
        <v>2</v>
      </c>
      <c r="B16" s="67"/>
      <c r="C16" s="68"/>
      <c r="D16" s="68"/>
      <c r="E16" s="68"/>
      <c r="F16" s="69">
        <v>1</v>
      </c>
      <c r="G16" s="70"/>
      <c r="H16" s="155"/>
      <c r="I16" s="71">
        <f t="shared" ref="I16:I33" si="0">(C16*D16*E16*F16)/1000000</f>
        <v>0</v>
      </c>
      <c r="J16" s="72">
        <f t="shared" ref="J16:J33" si="1">H16*I16</f>
        <v>0</v>
      </c>
    </row>
    <row r="17" spans="1:10" s="48" customFormat="1" ht="13.5" customHeight="1">
      <c r="A17" s="66">
        <v>3</v>
      </c>
      <c r="B17" s="67"/>
      <c r="C17" s="68"/>
      <c r="D17" s="68"/>
      <c r="E17" s="68"/>
      <c r="F17" s="69">
        <v>1</v>
      </c>
      <c r="G17" s="70"/>
      <c r="H17" s="155"/>
      <c r="I17" s="71">
        <f t="shared" si="0"/>
        <v>0</v>
      </c>
      <c r="J17" s="72">
        <f t="shared" si="1"/>
        <v>0</v>
      </c>
    </row>
    <row r="18" spans="1:10" s="48" customFormat="1" ht="13.5" customHeight="1">
      <c r="A18" s="66">
        <v>4</v>
      </c>
      <c r="B18" s="67"/>
      <c r="C18" s="68"/>
      <c r="D18" s="68"/>
      <c r="E18" s="68"/>
      <c r="F18" s="69">
        <v>1</v>
      </c>
      <c r="G18" s="70"/>
      <c r="H18" s="155"/>
      <c r="I18" s="71">
        <f t="shared" si="0"/>
        <v>0</v>
      </c>
      <c r="J18" s="72">
        <f t="shared" si="1"/>
        <v>0</v>
      </c>
    </row>
    <row r="19" spans="1:10" s="78" customFormat="1" ht="14.25" customHeight="1">
      <c r="A19" s="73">
        <v>5</v>
      </c>
      <c r="B19" s="74"/>
      <c r="C19" s="68"/>
      <c r="D19" s="68"/>
      <c r="E19" s="68"/>
      <c r="F19" s="75">
        <v>1</v>
      </c>
      <c r="G19" s="70"/>
      <c r="H19" s="70"/>
      <c r="I19" s="76">
        <f t="shared" si="0"/>
        <v>0</v>
      </c>
      <c r="J19" s="77">
        <f t="shared" si="1"/>
        <v>0</v>
      </c>
    </row>
    <row r="20" spans="1:10" s="48" customFormat="1" ht="13.5" customHeight="1">
      <c r="A20" s="66">
        <v>6</v>
      </c>
      <c r="B20" s="67"/>
      <c r="C20" s="79"/>
      <c r="D20" s="79"/>
      <c r="E20" s="79"/>
      <c r="F20" s="69">
        <v>1</v>
      </c>
      <c r="G20" s="70"/>
      <c r="H20" s="70"/>
      <c r="I20" s="71">
        <f t="shared" si="0"/>
        <v>0</v>
      </c>
      <c r="J20" s="72">
        <f t="shared" si="1"/>
        <v>0</v>
      </c>
    </row>
    <row r="21" spans="1:10" s="48" customFormat="1" ht="12.75" customHeight="1">
      <c r="A21" s="66">
        <v>7</v>
      </c>
      <c r="B21" s="67"/>
      <c r="C21" s="79"/>
      <c r="D21" s="79"/>
      <c r="E21" s="79"/>
      <c r="F21" s="69">
        <v>1</v>
      </c>
      <c r="G21" s="70"/>
      <c r="H21" s="70"/>
      <c r="I21" s="71">
        <f t="shared" si="0"/>
        <v>0</v>
      </c>
      <c r="J21" s="72">
        <f t="shared" si="1"/>
        <v>0</v>
      </c>
    </row>
    <row r="22" spans="1:10" s="48" customFormat="1" ht="12.75" customHeight="1">
      <c r="A22" s="66">
        <v>8</v>
      </c>
      <c r="B22" s="67"/>
      <c r="C22" s="79"/>
      <c r="D22" s="79"/>
      <c r="E22" s="79"/>
      <c r="F22" s="69">
        <v>1</v>
      </c>
      <c r="G22" s="70"/>
      <c r="H22" s="70"/>
      <c r="I22" s="71">
        <f t="shared" si="0"/>
        <v>0</v>
      </c>
      <c r="J22" s="72">
        <f t="shared" si="1"/>
        <v>0</v>
      </c>
    </row>
    <row r="23" spans="1:10" s="48" customFormat="1" ht="14.25" customHeight="1">
      <c r="A23" s="66">
        <v>9</v>
      </c>
      <c r="B23" s="67"/>
      <c r="C23" s="79"/>
      <c r="D23" s="79"/>
      <c r="E23" s="79"/>
      <c r="F23" s="69">
        <v>1</v>
      </c>
      <c r="G23" s="70"/>
      <c r="H23" s="70"/>
      <c r="I23" s="71">
        <f t="shared" si="0"/>
        <v>0</v>
      </c>
      <c r="J23" s="72">
        <f t="shared" si="1"/>
        <v>0</v>
      </c>
    </row>
    <row r="24" spans="1:10" s="48" customFormat="1" ht="15" customHeight="1">
      <c r="A24" s="66">
        <v>10</v>
      </c>
      <c r="B24" s="67"/>
      <c r="C24" s="79"/>
      <c r="D24" s="79"/>
      <c r="E24" s="79"/>
      <c r="F24" s="69">
        <v>1</v>
      </c>
      <c r="G24" s="70"/>
      <c r="H24" s="70"/>
      <c r="I24" s="71">
        <f t="shared" si="0"/>
        <v>0</v>
      </c>
      <c r="J24" s="72">
        <f t="shared" si="1"/>
        <v>0</v>
      </c>
    </row>
    <row r="25" spans="1:10" s="48" customFormat="1" ht="15.75" customHeight="1">
      <c r="A25" s="66">
        <v>11</v>
      </c>
      <c r="B25" s="67"/>
      <c r="C25" s="79"/>
      <c r="D25" s="79"/>
      <c r="E25" s="79"/>
      <c r="F25" s="69">
        <v>1</v>
      </c>
      <c r="G25" s="70"/>
      <c r="H25" s="70"/>
      <c r="I25" s="71">
        <f t="shared" si="0"/>
        <v>0</v>
      </c>
      <c r="J25" s="72">
        <f t="shared" si="1"/>
        <v>0</v>
      </c>
    </row>
    <row r="26" spans="1:10" s="48" customFormat="1" ht="13.5" customHeight="1">
      <c r="A26" s="66">
        <v>12</v>
      </c>
      <c r="B26" s="67"/>
      <c r="C26" s="79"/>
      <c r="D26" s="79"/>
      <c r="E26" s="79"/>
      <c r="F26" s="69">
        <v>1</v>
      </c>
      <c r="G26" s="70"/>
      <c r="H26" s="70"/>
      <c r="I26" s="71">
        <f t="shared" si="0"/>
        <v>0</v>
      </c>
      <c r="J26" s="72">
        <f t="shared" si="1"/>
        <v>0</v>
      </c>
    </row>
    <row r="27" spans="1:10" s="48" customFormat="1" ht="13.5" customHeight="1">
      <c r="A27" s="66">
        <v>13</v>
      </c>
      <c r="B27" s="67"/>
      <c r="C27" s="79"/>
      <c r="D27" s="79"/>
      <c r="E27" s="79"/>
      <c r="F27" s="69">
        <v>1</v>
      </c>
      <c r="G27" s="70"/>
      <c r="H27" s="70"/>
      <c r="I27" s="71">
        <f t="shared" si="0"/>
        <v>0</v>
      </c>
      <c r="J27" s="72">
        <f t="shared" si="1"/>
        <v>0</v>
      </c>
    </row>
    <row r="28" spans="1:10" s="48" customFormat="1" ht="12.75" customHeight="1">
      <c r="A28" s="66">
        <v>14</v>
      </c>
      <c r="B28" s="67"/>
      <c r="C28" s="79"/>
      <c r="D28" s="79"/>
      <c r="E28" s="79"/>
      <c r="F28" s="69">
        <v>1</v>
      </c>
      <c r="G28" s="70"/>
      <c r="H28" s="70"/>
      <c r="I28" s="71">
        <f t="shared" si="0"/>
        <v>0</v>
      </c>
      <c r="J28" s="72">
        <f t="shared" si="1"/>
        <v>0</v>
      </c>
    </row>
    <row r="29" spans="1:10" s="48" customFormat="1" ht="13.5" customHeight="1">
      <c r="A29" s="66">
        <v>15</v>
      </c>
      <c r="B29" s="67"/>
      <c r="C29" s="79"/>
      <c r="D29" s="79"/>
      <c r="E29" s="79"/>
      <c r="F29" s="69">
        <v>1</v>
      </c>
      <c r="G29" s="70"/>
      <c r="H29" s="70"/>
      <c r="I29" s="71">
        <f t="shared" si="0"/>
        <v>0</v>
      </c>
      <c r="J29" s="72">
        <f t="shared" si="1"/>
        <v>0</v>
      </c>
    </row>
    <row r="30" spans="1:10" s="48" customFormat="1" ht="14.25" customHeight="1">
      <c r="A30" s="66">
        <v>16</v>
      </c>
      <c r="B30" s="67"/>
      <c r="C30" s="80"/>
      <c r="D30" s="80"/>
      <c r="E30" s="79"/>
      <c r="F30" s="69">
        <v>1</v>
      </c>
      <c r="G30" s="70"/>
      <c r="H30" s="70"/>
      <c r="I30" s="71">
        <f t="shared" si="0"/>
        <v>0</v>
      </c>
      <c r="J30" s="72">
        <f t="shared" si="1"/>
        <v>0</v>
      </c>
    </row>
    <row r="31" spans="1:10" s="48" customFormat="1" ht="15" customHeight="1">
      <c r="A31" s="66">
        <v>17</v>
      </c>
      <c r="B31" s="67"/>
      <c r="C31" s="80"/>
      <c r="D31" s="80"/>
      <c r="E31" s="80"/>
      <c r="F31" s="69">
        <v>1</v>
      </c>
      <c r="G31" s="70"/>
      <c r="H31" s="70"/>
      <c r="I31" s="71">
        <f t="shared" si="0"/>
        <v>0</v>
      </c>
      <c r="J31" s="72">
        <f t="shared" si="1"/>
        <v>0</v>
      </c>
    </row>
    <row r="32" spans="1:10" s="48" customFormat="1" ht="15">
      <c r="A32" s="66">
        <v>18</v>
      </c>
      <c r="B32" s="67"/>
      <c r="C32" s="80"/>
      <c r="D32" s="80"/>
      <c r="E32" s="80"/>
      <c r="F32" s="69">
        <v>1</v>
      </c>
      <c r="G32" s="70"/>
      <c r="H32" s="70"/>
      <c r="I32" s="71">
        <f t="shared" si="0"/>
        <v>0</v>
      </c>
      <c r="J32" s="72">
        <f t="shared" si="1"/>
        <v>0</v>
      </c>
    </row>
    <row r="33" spans="1:14" s="48" customFormat="1" ht="15">
      <c r="A33" s="66">
        <v>19</v>
      </c>
      <c r="B33" s="67"/>
      <c r="C33" s="80"/>
      <c r="D33" s="80"/>
      <c r="E33" s="80"/>
      <c r="F33" s="69">
        <v>1</v>
      </c>
      <c r="G33" s="70"/>
      <c r="H33" s="70"/>
      <c r="I33" s="71">
        <f t="shared" si="0"/>
        <v>0</v>
      </c>
      <c r="J33" s="72">
        <f t="shared" si="1"/>
        <v>0</v>
      </c>
    </row>
    <row r="34" spans="1:14" s="48" customFormat="1" ht="15">
      <c r="A34" s="66">
        <v>21</v>
      </c>
      <c r="B34" s="67"/>
      <c r="C34" s="80"/>
      <c r="D34" s="80"/>
      <c r="E34" s="80"/>
      <c r="F34" s="69">
        <v>1</v>
      </c>
      <c r="G34" s="70"/>
      <c r="H34" s="70"/>
      <c r="I34" s="71">
        <f>(C34*D34*E34*F34)/1000000</f>
        <v>0</v>
      </c>
      <c r="J34" s="72">
        <f>H34*I34</f>
        <v>0</v>
      </c>
    </row>
    <row r="35" spans="1:14" s="48" customFormat="1" ht="15">
      <c r="A35" s="66">
        <v>22</v>
      </c>
      <c r="B35" s="67"/>
      <c r="C35" s="80"/>
      <c r="D35" s="80"/>
      <c r="E35" s="80"/>
      <c r="F35" s="69">
        <v>1</v>
      </c>
      <c r="G35" s="70"/>
      <c r="H35" s="70"/>
      <c r="I35" s="71">
        <f>(C35*D35*E35*F35)/1000000</f>
        <v>0</v>
      </c>
      <c r="J35" s="72">
        <f>H35*I35</f>
        <v>0</v>
      </c>
    </row>
    <row r="36" spans="1:14" s="48" customFormat="1" ht="15">
      <c r="A36" s="66">
        <v>23</v>
      </c>
      <c r="B36" s="67"/>
      <c r="C36" s="80"/>
      <c r="D36" s="80"/>
      <c r="E36" s="80"/>
      <c r="F36" s="69">
        <v>1</v>
      </c>
      <c r="G36" s="70"/>
      <c r="H36" s="70"/>
      <c r="I36" s="71">
        <f>(C36*D36*E36*F36)/1000000</f>
        <v>0</v>
      </c>
      <c r="J36" s="72">
        <f>H36*I36</f>
        <v>0</v>
      </c>
    </row>
    <row r="37" spans="1:14" s="48" customFormat="1" ht="15">
      <c r="A37" s="66">
        <v>24</v>
      </c>
      <c r="B37" s="67"/>
      <c r="C37" s="81"/>
      <c r="D37" s="82"/>
      <c r="E37" s="83"/>
      <c r="F37" s="69">
        <v>1</v>
      </c>
      <c r="G37" s="70"/>
      <c r="H37" s="70"/>
      <c r="I37" s="71">
        <f>(C37*D37*E37*F37)/1000000</f>
        <v>0</v>
      </c>
      <c r="J37" s="72">
        <f>H37*I37</f>
        <v>0</v>
      </c>
      <c r="N37" s="84"/>
    </row>
    <row r="38" spans="1:14" s="48" customFormat="1" ht="15">
      <c r="A38" s="66">
        <v>25</v>
      </c>
      <c r="B38" s="67"/>
      <c r="C38" s="81"/>
      <c r="D38" s="82"/>
      <c r="E38" s="83"/>
      <c r="F38" s="69">
        <v>1</v>
      </c>
      <c r="G38" s="70"/>
      <c r="H38" s="70"/>
      <c r="I38" s="71">
        <f>(C38*D38*E38*F38)/1000000</f>
        <v>0</v>
      </c>
      <c r="J38" s="72">
        <f>H38*I38</f>
        <v>0</v>
      </c>
    </row>
    <row r="39" spans="1:14" s="48" customFormat="1" ht="15.75" thickBot="1">
      <c r="A39" s="85"/>
      <c r="B39" s="86"/>
      <c r="C39" s="87"/>
      <c r="D39" s="87"/>
      <c r="E39" s="87"/>
      <c r="F39" s="88"/>
      <c r="G39" s="87"/>
      <c r="H39" s="87" t="s">
        <v>31</v>
      </c>
      <c r="I39" s="89">
        <f>SUM(I15:I38)</f>
        <v>0</v>
      </c>
      <c r="J39" s="90">
        <f>SUM(J15:J38)</f>
        <v>0</v>
      </c>
    </row>
    <row r="40" spans="1:14" s="48" customFormat="1" ht="15.75" customHeight="1" thickBot="1">
      <c r="A40" s="207" t="s">
        <v>54</v>
      </c>
      <c r="B40" s="208"/>
      <c r="C40" s="208"/>
      <c r="D40" s="208"/>
      <c r="E40" s="208"/>
      <c r="F40" s="208"/>
      <c r="G40" s="208"/>
      <c r="H40" s="208"/>
      <c r="I40" s="208"/>
      <c r="J40" s="209"/>
    </row>
    <row r="41" spans="1:14" s="48" customFormat="1" ht="15">
      <c r="A41" s="91">
        <v>1</v>
      </c>
      <c r="B41" s="92"/>
      <c r="C41" s="63"/>
      <c r="D41" s="93"/>
      <c r="E41" s="94"/>
      <c r="F41" s="95">
        <v>1</v>
      </c>
      <c r="G41" s="96"/>
      <c r="H41" s="97"/>
      <c r="I41" s="98"/>
      <c r="J41" s="99"/>
    </row>
    <row r="42" spans="1:14" s="48" customFormat="1" ht="15">
      <c r="A42" s="100">
        <v>2</v>
      </c>
      <c r="B42" s="101"/>
      <c r="C42" s="79"/>
      <c r="D42" s="79"/>
      <c r="E42" s="102"/>
      <c r="F42" s="103">
        <v>1</v>
      </c>
      <c r="G42" s="104"/>
      <c r="H42" s="70"/>
      <c r="I42" s="105"/>
      <c r="J42" s="106"/>
    </row>
    <row r="43" spans="1:14" s="78" customFormat="1" ht="15">
      <c r="A43" s="107">
        <v>3</v>
      </c>
      <c r="B43" s="108"/>
      <c r="C43" s="109"/>
      <c r="D43" s="110"/>
      <c r="E43" s="111"/>
      <c r="F43" s="112">
        <v>1</v>
      </c>
      <c r="G43" s="104"/>
      <c r="H43" s="109"/>
      <c r="I43" s="113"/>
      <c r="J43" s="114"/>
    </row>
    <row r="44" spans="1:14" s="48" customFormat="1" ht="15">
      <c r="A44" s="100">
        <v>4</v>
      </c>
      <c r="B44" s="101"/>
      <c r="C44" s="70"/>
      <c r="D44" s="110"/>
      <c r="E44" s="115"/>
      <c r="F44" s="103">
        <v>1</v>
      </c>
      <c r="G44" s="104"/>
      <c r="H44" s="70"/>
      <c r="I44" s="105"/>
      <c r="J44" s="106"/>
    </row>
    <row r="45" spans="1:14" s="48" customFormat="1" ht="15.75" thickBot="1">
      <c r="A45" s="85">
        <v>5</v>
      </c>
      <c r="B45" s="86"/>
      <c r="C45" s="116"/>
      <c r="D45" s="117"/>
      <c r="E45" s="118"/>
      <c r="F45" s="119">
        <v>1</v>
      </c>
      <c r="G45" s="120"/>
      <c r="H45" s="116"/>
      <c r="I45" s="121"/>
      <c r="J45" s="90"/>
    </row>
    <row r="46" spans="1:14" s="48" customFormat="1" ht="15.75" thickBot="1">
      <c r="A46" s="122"/>
      <c r="B46" s="122"/>
      <c r="C46" s="123"/>
      <c r="D46" s="124"/>
      <c r="E46" s="125"/>
      <c r="F46" s="103"/>
      <c r="G46" s="126"/>
      <c r="H46" s="127" t="s">
        <v>31</v>
      </c>
      <c r="I46" s="128"/>
      <c r="J46" s="129"/>
    </row>
    <row r="47" spans="1:14" ht="13.5" thickBot="1">
      <c r="G47" s="210" t="s">
        <v>55</v>
      </c>
      <c r="H47" s="211"/>
      <c r="I47" s="212"/>
      <c r="J47" s="130"/>
    </row>
    <row r="48" spans="1:14" ht="12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</row>
    <row r="49" spans="1:10" ht="12.75" customHeight="1">
      <c r="A49" s="131"/>
      <c r="B49" s="131"/>
      <c r="C49" s="131"/>
      <c r="D49" s="213"/>
      <c r="E49" s="213"/>
      <c r="F49" s="213"/>
      <c r="G49" s="213"/>
      <c r="H49" s="213"/>
      <c r="I49" s="213"/>
      <c r="J49" s="131"/>
    </row>
    <row r="50" spans="1:10" s="132" customFormat="1">
      <c r="A50" s="214" t="s">
        <v>56</v>
      </c>
      <c r="B50" s="214"/>
      <c r="C50" s="215"/>
      <c r="G50" s="216"/>
      <c r="H50" s="216"/>
      <c r="I50" s="133"/>
    </row>
    <row r="51" spans="1:10">
      <c r="A51" s="2" t="s">
        <v>57</v>
      </c>
      <c r="C51" s="134"/>
    </row>
    <row r="52" spans="1:10">
      <c r="C52" s="134"/>
    </row>
    <row r="53" spans="1:10">
      <c r="C53" s="134"/>
    </row>
    <row r="54" spans="1:10">
      <c r="C54" s="134"/>
    </row>
    <row r="56" spans="1:10" ht="15.75">
      <c r="A56" s="200"/>
      <c r="B56" s="200"/>
      <c r="C56" s="200"/>
      <c r="D56" s="200"/>
      <c r="E56" s="200"/>
      <c r="F56" s="200"/>
      <c r="G56" s="200"/>
      <c r="H56" s="200"/>
      <c r="I56" s="200"/>
    </row>
    <row r="57" spans="1:10">
      <c r="A57" s="218"/>
      <c r="B57" s="218"/>
      <c r="C57" s="218"/>
      <c r="D57" s="218"/>
      <c r="E57" s="218"/>
      <c r="F57" s="218"/>
      <c r="G57" s="218"/>
      <c r="H57" s="218"/>
      <c r="I57" s="218"/>
    </row>
    <row r="58" spans="1:10">
      <c r="A58" s="219"/>
      <c r="B58" s="219"/>
      <c r="C58" s="219"/>
      <c r="D58" s="219"/>
      <c r="E58" s="219"/>
      <c r="F58" s="219"/>
      <c r="G58" s="219"/>
      <c r="H58" s="219"/>
      <c r="I58" s="219"/>
    </row>
    <row r="59" spans="1:10">
      <c r="A59" s="219"/>
      <c r="B59" s="219"/>
      <c r="C59" s="219"/>
      <c r="D59" s="219"/>
      <c r="E59" s="219"/>
      <c r="F59" s="219"/>
      <c r="G59" s="219"/>
      <c r="H59" s="219"/>
      <c r="I59" s="219"/>
    </row>
    <row r="60" spans="1:10">
      <c r="A60" s="217"/>
      <c r="B60" s="217"/>
      <c r="C60" s="217"/>
      <c r="D60" s="217"/>
      <c r="E60" s="217"/>
      <c r="F60" s="217"/>
      <c r="G60" s="217"/>
      <c r="H60" s="217"/>
      <c r="I60" s="217"/>
    </row>
    <row r="61" spans="1:10">
      <c r="A61" s="217"/>
      <c r="B61" s="217"/>
      <c r="C61" s="217"/>
      <c r="D61" s="217"/>
      <c r="E61" s="217"/>
      <c r="F61" s="217"/>
      <c r="G61" s="217"/>
      <c r="H61" s="217"/>
      <c r="I61" s="217"/>
    </row>
    <row r="62" spans="1:10">
      <c r="A62" s="217"/>
      <c r="B62" s="217"/>
      <c r="C62" s="217"/>
      <c r="D62" s="217"/>
      <c r="E62" s="217"/>
      <c r="F62" s="217"/>
      <c r="G62" s="217"/>
      <c r="H62" s="217"/>
      <c r="I62" s="217"/>
    </row>
    <row r="63" spans="1:10">
      <c r="A63" s="217"/>
      <c r="B63" s="217"/>
      <c r="C63" s="217"/>
      <c r="D63" s="217"/>
      <c r="E63" s="217"/>
      <c r="F63" s="217"/>
      <c r="G63" s="217"/>
      <c r="H63" s="217"/>
      <c r="I63" s="217"/>
    </row>
    <row r="64" spans="1:10">
      <c r="A64" s="217"/>
      <c r="B64" s="217"/>
      <c r="C64" s="217"/>
      <c r="D64" s="217"/>
      <c r="E64" s="217"/>
      <c r="F64" s="217"/>
      <c r="G64" s="217"/>
      <c r="H64" s="217"/>
      <c r="I64" s="217"/>
    </row>
    <row r="65" spans="1:9">
      <c r="A65" s="217"/>
      <c r="B65" s="217"/>
      <c r="C65" s="217"/>
      <c r="D65" s="217"/>
      <c r="E65" s="217"/>
      <c r="F65" s="217"/>
      <c r="G65" s="217"/>
      <c r="H65" s="217"/>
      <c r="I65" s="217"/>
    </row>
    <row r="66" spans="1:9">
      <c r="A66" s="217"/>
      <c r="B66" s="217"/>
      <c r="C66" s="217"/>
      <c r="D66" s="217"/>
      <c r="E66" s="217"/>
      <c r="F66" s="217"/>
      <c r="G66" s="217"/>
      <c r="H66" s="217"/>
      <c r="I66" s="217"/>
    </row>
    <row r="67" spans="1:9">
      <c r="A67" s="217"/>
      <c r="B67" s="217"/>
      <c r="C67" s="217"/>
      <c r="D67" s="217"/>
      <c r="E67" s="217"/>
      <c r="F67" s="217"/>
      <c r="G67" s="217"/>
      <c r="H67" s="217"/>
      <c r="I67" s="217"/>
    </row>
    <row r="68" spans="1:9">
      <c r="A68" s="217"/>
      <c r="B68" s="217"/>
      <c r="C68" s="217"/>
      <c r="D68" s="217"/>
      <c r="E68" s="217"/>
      <c r="F68" s="217"/>
      <c r="G68" s="217"/>
      <c r="H68" s="217"/>
      <c r="I68" s="217"/>
    </row>
    <row r="69" spans="1:9">
      <c r="A69" s="217"/>
      <c r="B69" s="217"/>
      <c r="C69" s="217"/>
      <c r="D69" s="217"/>
      <c r="E69" s="217"/>
      <c r="F69" s="217"/>
      <c r="G69" s="217"/>
      <c r="H69" s="217"/>
      <c r="I69" s="217"/>
    </row>
    <row r="70" spans="1:9">
      <c r="A70" s="217"/>
      <c r="B70" s="217"/>
      <c r="C70" s="217"/>
      <c r="D70" s="217"/>
      <c r="E70" s="217"/>
      <c r="F70" s="217"/>
      <c r="G70" s="217"/>
      <c r="H70" s="217"/>
      <c r="I70" s="217"/>
    </row>
    <row r="71" spans="1:9">
      <c r="A71" s="217"/>
      <c r="B71" s="217"/>
      <c r="C71" s="217"/>
      <c r="D71" s="217"/>
      <c r="E71" s="217"/>
      <c r="F71" s="217"/>
      <c r="G71" s="217"/>
      <c r="H71" s="217"/>
      <c r="I71" s="217"/>
    </row>
    <row r="72" spans="1:9">
      <c r="A72" s="217"/>
      <c r="B72" s="217"/>
      <c r="C72" s="217"/>
      <c r="D72" s="217"/>
      <c r="E72" s="217"/>
      <c r="F72" s="217"/>
      <c r="G72" s="217"/>
      <c r="H72" s="217"/>
      <c r="I72" s="217"/>
    </row>
    <row r="73" spans="1:9">
      <c r="A73" s="217"/>
      <c r="B73" s="217"/>
      <c r="C73" s="217"/>
      <c r="D73" s="217"/>
      <c r="E73" s="217"/>
      <c r="F73" s="217"/>
      <c r="G73" s="217"/>
      <c r="H73" s="217"/>
      <c r="I73" s="217"/>
    </row>
    <row r="74" spans="1:9">
      <c r="A74" s="217"/>
      <c r="B74" s="217"/>
      <c r="C74" s="217"/>
      <c r="D74" s="217"/>
      <c r="E74" s="217"/>
      <c r="F74" s="217"/>
      <c r="G74" s="217"/>
      <c r="H74" s="217"/>
      <c r="I74" s="217"/>
    </row>
    <row r="75" spans="1:9">
      <c r="A75" s="217"/>
      <c r="B75" s="217"/>
      <c r="C75" s="217"/>
      <c r="D75" s="217"/>
      <c r="E75" s="217"/>
      <c r="F75" s="217"/>
      <c r="G75" s="217"/>
      <c r="H75" s="217"/>
      <c r="I75" s="217"/>
    </row>
    <row r="76" spans="1:9">
      <c r="A76" s="217"/>
      <c r="B76" s="217"/>
      <c r="C76" s="217"/>
      <c r="D76" s="217"/>
      <c r="E76" s="217"/>
      <c r="F76" s="217"/>
      <c r="G76" s="217"/>
      <c r="H76" s="217"/>
      <c r="I76" s="217"/>
    </row>
  </sheetData>
  <mergeCells count="40">
    <mergeCell ref="A75:I75"/>
    <mergeCell ref="A76:I76"/>
    <mergeCell ref="A69:I69"/>
    <mergeCell ref="A70:I70"/>
    <mergeCell ref="A71:I71"/>
    <mergeCell ref="A72:I72"/>
    <mergeCell ref="A73:I73"/>
    <mergeCell ref="A74:I74"/>
    <mergeCell ref="A68:I68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56:I56"/>
    <mergeCell ref="A7:D7"/>
    <mergeCell ref="E7:G7"/>
    <mergeCell ref="H7:J7"/>
    <mergeCell ref="E8:I8"/>
    <mergeCell ref="C9:G9"/>
    <mergeCell ref="A40:J40"/>
    <mergeCell ref="G47:I47"/>
    <mergeCell ref="A48:J48"/>
    <mergeCell ref="D49:I49"/>
    <mergeCell ref="A50:C50"/>
    <mergeCell ref="G50:H50"/>
    <mergeCell ref="A6:D6"/>
    <mergeCell ref="E6:G6"/>
    <mergeCell ref="H6:J6"/>
    <mergeCell ref="G1:H1"/>
    <mergeCell ref="F2:I2"/>
    <mergeCell ref="A5:D5"/>
    <mergeCell ref="E5:G5"/>
    <mergeCell ref="H5:J5"/>
  </mergeCells>
  <pageMargins left="0.47244094488188981" right="0.27559055118110237" top="0.74803149606299213" bottom="0.74803149606299213" header="0.15748031496062992" footer="7.874015748031496E-2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topLeftCell="A29" workbookViewId="0">
      <selection activeCell="M37" sqref="M37"/>
    </sheetView>
  </sheetViews>
  <sheetFormatPr defaultRowHeight="12.75"/>
  <cols>
    <col min="1" max="1" width="3.85546875" style="159" customWidth="1"/>
    <col min="2" max="3" width="7.42578125" style="159" customWidth="1"/>
    <col min="4" max="4" width="6.5703125" style="159" customWidth="1"/>
    <col min="5" max="5" width="4.7109375" style="159" customWidth="1"/>
    <col min="6" max="6" width="5.7109375" style="159" customWidth="1"/>
    <col min="7" max="7" width="31.140625" style="159" customWidth="1"/>
    <col min="8" max="8" width="8.5703125" style="159" customWidth="1"/>
    <col min="9" max="9" width="10.140625" style="159" customWidth="1"/>
    <col min="10" max="10" width="9.5703125" style="159" bestFit="1" customWidth="1"/>
    <col min="11" max="256" width="8.85546875" style="159"/>
    <col min="257" max="257" width="3.85546875" style="159" customWidth="1"/>
    <col min="258" max="259" width="7.42578125" style="159" customWidth="1"/>
    <col min="260" max="260" width="6.5703125" style="159" customWidth="1"/>
    <col min="261" max="261" width="4.7109375" style="159" customWidth="1"/>
    <col min="262" max="262" width="5.7109375" style="159" customWidth="1"/>
    <col min="263" max="263" width="31.140625" style="159" customWidth="1"/>
    <col min="264" max="264" width="8.5703125" style="159" customWidth="1"/>
    <col min="265" max="265" width="10.140625" style="159" customWidth="1"/>
    <col min="266" max="266" width="9.5703125" style="159" bestFit="1" customWidth="1"/>
    <col min="267" max="512" width="8.85546875" style="159"/>
    <col min="513" max="513" width="3.85546875" style="159" customWidth="1"/>
    <col min="514" max="515" width="7.42578125" style="159" customWidth="1"/>
    <col min="516" max="516" width="6.5703125" style="159" customWidth="1"/>
    <col min="517" max="517" width="4.7109375" style="159" customWidth="1"/>
    <col min="518" max="518" width="5.7109375" style="159" customWidth="1"/>
    <col min="519" max="519" width="31.140625" style="159" customWidth="1"/>
    <col min="520" max="520" width="8.5703125" style="159" customWidth="1"/>
    <col min="521" max="521" width="10.140625" style="159" customWidth="1"/>
    <col min="522" max="522" width="9.5703125" style="159" bestFit="1" customWidth="1"/>
    <col min="523" max="768" width="8.85546875" style="159"/>
    <col min="769" max="769" width="3.85546875" style="159" customWidth="1"/>
    <col min="770" max="771" width="7.42578125" style="159" customWidth="1"/>
    <col min="772" max="772" width="6.5703125" style="159" customWidth="1"/>
    <col min="773" max="773" width="4.7109375" style="159" customWidth="1"/>
    <col min="774" max="774" width="5.7109375" style="159" customWidth="1"/>
    <col min="775" max="775" width="31.140625" style="159" customWidth="1"/>
    <col min="776" max="776" width="8.5703125" style="159" customWidth="1"/>
    <col min="777" max="777" width="10.140625" style="159" customWidth="1"/>
    <col min="778" max="778" width="9.5703125" style="159" bestFit="1" customWidth="1"/>
    <col min="779" max="1024" width="8.85546875" style="159"/>
    <col min="1025" max="1025" width="3.85546875" style="159" customWidth="1"/>
    <col min="1026" max="1027" width="7.42578125" style="159" customWidth="1"/>
    <col min="1028" max="1028" width="6.5703125" style="159" customWidth="1"/>
    <col min="1029" max="1029" width="4.7109375" style="159" customWidth="1"/>
    <col min="1030" max="1030" width="5.7109375" style="159" customWidth="1"/>
    <col min="1031" max="1031" width="31.140625" style="159" customWidth="1"/>
    <col min="1032" max="1032" width="8.5703125" style="159" customWidth="1"/>
    <col min="1033" max="1033" width="10.140625" style="159" customWidth="1"/>
    <col min="1034" max="1034" width="9.5703125" style="159" bestFit="1" customWidth="1"/>
    <col min="1035" max="1280" width="8.85546875" style="159"/>
    <col min="1281" max="1281" width="3.85546875" style="159" customWidth="1"/>
    <col min="1282" max="1283" width="7.42578125" style="159" customWidth="1"/>
    <col min="1284" max="1284" width="6.5703125" style="159" customWidth="1"/>
    <col min="1285" max="1285" width="4.7109375" style="159" customWidth="1"/>
    <col min="1286" max="1286" width="5.7109375" style="159" customWidth="1"/>
    <col min="1287" max="1287" width="31.140625" style="159" customWidth="1"/>
    <col min="1288" max="1288" width="8.5703125" style="159" customWidth="1"/>
    <col min="1289" max="1289" width="10.140625" style="159" customWidth="1"/>
    <col min="1290" max="1290" width="9.5703125" style="159" bestFit="1" customWidth="1"/>
    <col min="1291" max="1536" width="8.85546875" style="159"/>
    <col min="1537" max="1537" width="3.85546875" style="159" customWidth="1"/>
    <col min="1538" max="1539" width="7.42578125" style="159" customWidth="1"/>
    <col min="1540" max="1540" width="6.5703125" style="159" customWidth="1"/>
    <col min="1541" max="1541" width="4.7109375" style="159" customWidth="1"/>
    <col min="1542" max="1542" width="5.7109375" style="159" customWidth="1"/>
    <col min="1543" max="1543" width="31.140625" style="159" customWidth="1"/>
    <col min="1544" max="1544" width="8.5703125" style="159" customWidth="1"/>
    <col min="1545" max="1545" width="10.140625" style="159" customWidth="1"/>
    <col min="1546" max="1546" width="9.5703125" style="159" bestFit="1" customWidth="1"/>
    <col min="1547" max="1792" width="8.85546875" style="159"/>
    <col min="1793" max="1793" width="3.85546875" style="159" customWidth="1"/>
    <col min="1794" max="1795" width="7.42578125" style="159" customWidth="1"/>
    <col min="1796" max="1796" width="6.5703125" style="159" customWidth="1"/>
    <col min="1797" max="1797" width="4.7109375" style="159" customWidth="1"/>
    <col min="1798" max="1798" width="5.7109375" style="159" customWidth="1"/>
    <col min="1799" max="1799" width="31.140625" style="159" customWidth="1"/>
    <col min="1800" max="1800" width="8.5703125" style="159" customWidth="1"/>
    <col min="1801" max="1801" width="10.140625" style="159" customWidth="1"/>
    <col min="1802" max="1802" width="9.5703125" style="159" bestFit="1" customWidth="1"/>
    <col min="1803" max="2048" width="8.85546875" style="159"/>
    <col min="2049" max="2049" width="3.85546875" style="159" customWidth="1"/>
    <col min="2050" max="2051" width="7.42578125" style="159" customWidth="1"/>
    <col min="2052" max="2052" width="6.5703125" style="159" customWidth="1"/>
    <col min="2053" max="2053" width="4.7109375" style="159" customWidth="1"/>
    <col min="2054" max="2054" width="5.7109375" style="159" customWidth="1"/>
    <col min="2055" max="2055" width="31.140625" style="159" customWidth="1"/>
    <col min="2056" max="2056" width="8.5703125" style="159" customWidth="1"/>
    <col min="2057" max="2057" width="10.140625" style="159" customWidth="1"/>
    <col min="2058" max="2058" width="9.5703125" style="159" bestFit="1" customWidth="1"/>
    <col min="2059" max="2304" width="8.85546875" style="159"/>
    <col min="2305" max="2305" width="3.85546875" style="159" customWidth="1"/>
    <col min="2306" max="2307" width="7.42578125" style="159" customWidth="1"/>
    <col min="2308" max="2308" width="6.5703125" style="159" customWidth="1"/>
    <col min="2309" max="2309" width="4.7109375" style="159" customWidth="1"/>
    <col min="2310" max="2310" width="5.7109375" style="159" customWidth="1"/>
    <col min="2311" max="2311" width="31.140625" style="159" customWidth="1"/>
    <col min="2312" max="2312" width="8.5703125" style="159" customWidth="1"/>
    <col min="2313" max="2313" width="10.140625" style="159" customWidth="1"/>
    <col min="2314" max="2314" width="9.5703125" style="159" bestFit="1" customWidth="1"/>
    <col min="2315" max="2560" width="8.85546875" style="159"/>
    <col min="2561" max="2561" width="3.85546875" style="159" customWidth="1"/>
    <col min="2562" max="2563" width="7.42578125" style="159" customWidth="1"/>
    <col min="2564" max="2564" width="6.5703125" style="159" customWidth="1"/>
    <col min="2565" max="2565" width="4.7109375" style="159" customWidth="1"/>
    <col min="2566" max="2566" width="5.7109375" style="159" customWidth="1"/>
    <col min="2567" max="2567" width="31.140625" style="159" customWidth="1"/>
    <col min="2568" max="2568" width="8.5703125" style="159" customWidth="1"/>
    <col min="2569" max="2569" width="10.140625" style="159" customWidth="1"/>
    <col min="2570" max="2570" width="9.5703125" style="159" bestFit="1" customWidth="1"/>
    <col min="2571" max="2816" width="8.85546875" style="159"/>
    <col min="2817" max="2817" width="3.85546875" style="159" customWidth="1"/>
    <col min="2818" max="2819" width="7.42578125" style="159" customWidth="1"/>
    <col min="2820" max="2820" width="6.5703125" style="159" customWidth="1"/>
    <col min="2821" max="2821" width="4.7109375" style="159" customWidth="1"/>
    <col min="2822" max="2822" width="5.7109375" style="159" customWidth="1"/>
    <col min="2823" max="2823" width="31.140625" style="159" customWidth="1"/>
    <col min="2824" max="2824" width="8.5703125" style="159" customWidth="1"/>
    <col min="2825" max="2825" width="10.140625" style="159" customWidth="1"/>
    <col min="2826" max="2826" width="9.5703125" style="159" bestFit="1" customWidth="1"/>
    <col min="2827" max="3072" width="8.85546875" style="159"/>
    <col min="3073" max="3073" width="3.85546875" style="159" customWidth="1"/>
    <col min="3074" max="3075" width="7.42578125" style="159" customWidth="1"/>
    <col min="3076" max="3076" width="6.5703125" style="159" customWidth="1"/>
    <col min="3077" max="3077" width="4.7109375" style="159" customWidth="1"/>
    <col min="3078" max="3078" width="5.7109375" style="159" customWidth="1"/>
    <col min="3079" max="3079" width="31.140625" style="159" customWidth="1"/>
    <col min="3080" max="3080" width="8.5703125" style="159" customWidth="1"/>
    <col min="3081" max="3081" width="10.140625" style="159" customWidth="1"/>
    <col min="3082" max="3082" width="9.5703125" style="159" bestFit="1" customWidth="1"/>
    <col min="3083" max="3328" width="8.85546875" style="159"/>
    <col min="3329" max="3329" width="3.85546875" style="159" customWidth="1"/>
    <col min="3330" max="3331" width="7.42578125" style="159" customWidth="1"/>
    <col min="3332" max="3332" width="6.5703125" style="159" customWidth="1"/>
    <col min="3333" max="3333" width="4.7109375" style="159" customWidth="1"/>
    <col min="3334" max="3334" width="5.7109375" style="159" customWidth="1"/>
    <col min="3335" max="3335" width="31.140625" style="159" customWidth="1"/>
    <col min="3336" max="3336" width="8.5703125" style="159" customWidth="1"/>
    <col min="3337" max="3337" width="10.140625" style="159" customWidth="1"/>
    <col min="3338" max="3338" width="9.5703125" style="159" bestFit="1" customWidth="1"/>
    <col min="3339" max="3584" width="8.85546875" style="159"/>
    <col min="3585" max="3585" width="3.85546875" style="159" customWidth="1"/>
    <col min="3586" max="3587" width="7.42578125" style="159" customWidth="1"/>
    <col min="3588" max="3588" width="6.5703125" style="159" customWidth="1"/>
    <col min="3589" max="3589" width="4.7109375" style="159" customWidth="1"/>
    <col min="3590" max="3590" width="5.7109375" style="159" customWidth="1"/>
    <col min="3591" max="3591" width="31.140625" style="159" customWidth="1"/>
    <col min="3592" max="3592" width="8.5703125" style="159" customWidth="1"/>
    <col min="3593" max="3593" width="10.140625" style="159" customWidth="1"/>
    <col min="3594" max="3594" width="9.5703125" style="159" bestFit="1" customWidth="1"/>
    <col min="3595" max="3840" width="8.85546875" style="159"/>
    <col min="3841" max="3841" width="3.85546875" style="159" customWidth="1"/>
    <col min="3842" max="3843" width="7.42578125" style="159" customWidth="1"/>
    <col min="3844" max="3844" width="6.5703125" style="159" customWidth="1"/>
    <col min="3845" max="3845" width="4.7109375" style="159" customWidth="1"/>
    <col min="3846" max="3846" width="5.7109375" style="159" customWidth="1"/>
    <col min="3847" max="3847" width="31.140625" style="159" customWidth="1"/>
    <col min="3848" max="3848" width="8.5703125" style="159" customWidth="1"/>
    <col min="3849" max="3849" width="10.140625" style="159" customWidth="1"/>
    <col min="3850" max="3850" width="9.5703125" style="159" bestFit="1" customWidth="1"/>
    <col min="3851" max="4096" width="8.85546875" style="159"/>
    <col min="4097" max="4097" width="3.85546875" style="159" customWidth="1"/>
    <col min="4098" max="4099" width="7.42578125" style="159" customWidth="1"/>
    <col min="4100" max="4100" width="6.5703125" style="159" customWidth="1"/>
    <col min="4101" max="4101" width="4.7109375" style="159" customWidth="1"/>
    <col min="4102" max="4102" width="5.7109375" style="159" customWidth="1"/>
    <col min="4103" max="4103" width="31.140625" style="159" customWidth="1"/>
    <col min="4104" max="4104" width="8.5703125" style="159" customWidth="1"/>
    <col min="4105" max="4105" width="10.140625" style="159" customWidth="1"/>
    <col min="4106" max="4106" width="9.5703125" style="159" bestFit="1" customWidth="1"/>
    <col min="4107" max="4352" width="8.85546875" style="159"/>
    <col min="4353" max="4353" width="3.85546875" style="159" customWidth="1"/>
    <col min="4354" max="4355" width="7.42578125" style="159" customWidth="1"/>
    <col min="4356" max="4356" width="6.5703125" style="159" customWidth="1"/>
    <col min="4357" max="4357" width="4.7109375" style="159" customWidth="1"/>
    <col min="4358" max="4358" width="5.7109375" style="159" customWidth="1"/>
    <col min="4359" max="4359" width="31.140625" style="159" customWidth="1"/>
    <col min="4360" max="4360" width="8.5703125" style="159" customWidth="1"/>
    <col min="4361" max="4361" width="10.140625" style="159" customWidth="1"/>
    <col min="4362" max="4362" width="9.5703125" style="159" bestFit="1" customWidth="1"/>
    <col min="4363" max="4608" width="8.85546875" style="159"/>
    <col min="4609" max="4609" width="3.85546875" style="159" customWidth="1"/>
    <col min="4610" max="4611" width="7.42578125" style="159" customWidth="1"/>
    <col min="4612" max="4612" width="6.5703125" style="159" customWidth="1"/>
    <col min="4613" max="4613" width="4.7109375" style="159" customWidth="1"/>
    <col min="4614" max="4614" width="5.7109375" style="159" customWidth="1"/>
    <col min="4615" max="4615" width="31.140625" style="159" customWidth="1"/>
    <col min="4616" max="4616" width="8.5703125" style="159" customWidth="1"/>
    <col min="4617" max="4617" width="10.140625" style="159" customWidth="1"/>
    <col min="4618" max="4618" width="9.5703125" style="159" bestFit="1" customWidth="1"/>
    <col min="4619" max="4864" width="8.85546875" style="159"/>
    <col min="4865" max="4865" width="3.85546875" style="159" customWidth="1"/>
    <col min="4866" max="4867" width="7.42578125" style="159" customWidth="1"/>
    <col min="4868" max="4868" width="6.5703125" style="159" customWidth="1"/>
    <col min="4869" max="4869" width="4.7109375" style="159" customWidth="1"/>
    <col min="4870" max="4870" width="5.7109375" style="159" customWidth="1"/>
    <col min="4871" max="4871" width="31.140625" style="159" customWidth="1"/>
    <col min="4872" max="4872" width="8.5703125" style="159" customWidth="1"/>
    <col min="4873" max="4873" width="10.140625" style="159" customWidth="1"/>
    <col min="4874" max="4874" width="9.5703125" style="159" bestFit="1" customWidth="1"/>
    <col min="4875" max="5120" width="8.85546875" style="159"/>
    <col min="5121" max="5121" width="3.85546875" style="159" customWidth="1"/>
    <col min="5122" max="5123" width="7.42578125" style="159" customWidth="1"/>
    <col min="5124" max="5124" width="6.5703125" style="159" customWidth="1"/>
    <col min="5125" max="5125" width="4.7109375" style="159" customWidth="1"/>
    <col min="5126" max="5126" width="5.7109375" style="159" customWidth="1"/>
    <col min="5127" max="5127" width="31.140625" style="159" customWidth="1"/>
    <col min="5128" max="5128" width="8.5703125" style="159" customWidth="1"/>
    <col min="5129" max="5129" width="10.140625" style="159" customWidth="1"/>
    <col min="5130" max="5130" width="9.5703125" style="159" bestFit="1" customWidth="1"/>
    <col min="5131" max="5376" width="8.85546875" style="159"/>
    <col min="5377" max="5377" width="3.85546875" style="159" customWidth="1"/>
    <col min="5378" max="5379" width="7.42578125" style="159" customWidth="1"/>
    <col min="5380" max="5380" width="6.5703125" style="159" customWidth="1"/>
    <col min="5381" max="5381" width="4.7109375" style="159" customWidth="1"/>
    <col min="5382" max="5382" width="5.7109375" style="159" customWidth="1"/>
    <col min="5383" max="5383" width="31.140625" style="159" customWidth="1"/>
    <col min="5384" max="5384" width="8.5703125" style="159" customWidth="1"/>
    <col min="5385" max="5385" width="10.140625" style="159" customWidth="1"/>
    <col min="5386" max="5386" width="9.5703125" style="159" bestFit="1" customWidth="1"/>
    <col min="5387" max="5632" width="8.85546875" style="159"/>
    <col min="5633" max="5633" width="3.85546875" style="159" customWidth="1"/>
    <col min="5634" max="5635" width="7.42578125" style="159" customWidth="1"/>
    <col min="5636" max="5636" width="6.5703125" style="159" customWidth="1"/>
    <col min="5637" max="5637" width="4.7109375" style="159" customWidth="1"/>
    <col min="5638" max="5638" width="5.7109375" style="159" customWidth="1"/>
    <col min="5639" max="5639" width="31.140625" style="159" customWidth="1"/>
    <col min="5640" max="5640" width="8.5703125" style="159" customWidth="1"/>
    <col min="5641" max="5641" width="10.140625" style="159" customWidth="1"/>
    <col min="5642" max="5642" width="9.5703125" style="159" bestFit="1" customWidth="1"/>
    <col min="5643" max="5888" width="8.85546875" style="159"/>
    <col min="5889" max="5889" width="3.85546875" style="159" customWidth="1"/>
    <col min="5890" max="5891" width="7.42578125" style="159" customWidth="1"/>
    <col min="5892" max="5892" width="6.5703125" style="159" customWidth="1"/>
    <col min="5893" max="5893" width="4.7109375" style="159" customWidth="1"/>
    <col min="5894" max="5894" width="5.7109375" style="159" customWidth="1"/>
    <col min="5895" max="5895" width="31.140625" style="159" customWidth="1"/>
    <col min="5896" max="5896" width="8.5703125" style="159" customWidth="1"/>
    <col min="5897" max="5897" width="10.140625" style="159" customWidth="1"/>
    <col min="5898" max="5898" width="9.5703125" style="159" bestFit="1" customWidth="1"/>
    <col min="5899" max="6144" width="8.85546875" style="159"/>
    <col min="6145" max="6145" width="3.85546875" style="159" customWidth="1"/>
    <col min="6146" max="6147" width="7.42578125" style="159" customWidth="1"/>
    <col min="6148" max="6148" width="6.5703125" style="159" customWidth="1"/>
    <col min="6149" max="6149" width="4.7109375" style="159" customWidth="1"/>
    <col min="6150" max="6150" width="5.7109375" style="159" customWidth="1"/>
    <col min="6151" max="6151" width="31.140625" style="159" customWidth="1"/>
    <col min="6152" max="6152" width="8.5703125" style="159" customWidth="1"/>
    <col min="6153" max="6153" width="10.140625" style="159" customWidth="1"/>
    <col min="6154" max="6154" width="9.5703125" style="159" bestFit="1" customWidth="1"/>
    <col min="6155" max="6400" width="8.85546875" style="159"/>
    <col min="6401" max="6401" width="3.85546875" style="159" customWidth="1"/>
    <col min="6402" max="6403" width="7.42578125" style="159" customWidth="1"/>
    <col min="6404" max="6404" width="6.5703125" style="159" customWidth="1"/>
    <col min="6405" max="6405" width="4.7109375" style="159" customWidth="1"/>
    <col min="6406" max="6406" width="5.7109375" style="159" customWidth="1"/>
    <col min="6407" max="6407" width="31.140625" style="159" customWidth="1"/>
    <col min="6408" max="6408" width="8.5703125" style="159" customWidth="1"/>
    <col min="6409" max="6409" width="10.140625" style="159" customWidth="1"/>
    <col min="6410" max="6410" width="9.5703125" style="159" bestFit="1" customWidth="1"/>
    <col min="6411" max="6656" width="8.85546875" style="159"/>
    <col min="6657" max="6657" width="3.85546875" style="159" customWidth="1"/>
    <col min="6658" max="6659" width="7.42578125" style="159" customWidth="1"/>
    <col min="6660" max="6660" width="6.5703125" style="159" customWidth="1"/>
    <col min="6661" max="6661" width="4.7109375" style="159" customWidth="1"/>
    <col min="6662" max="6662" width="5.7109375" style="159" customWidth="1"/>
    <col min="6663" max="6663" width="31.140625" style="159" customWidth="1"/>
    <col min="6664" max="6664" width="8.5703125" style="159" customWidth="1"/>
    <col min="6665" max="6665" width="10.140625" style="159" customWidth="1"/>
    <col min="6666" max="6666" width="9.5703125" style="159" bestFit="1" customWidth="1"/>
    <col min="6667" max="6912" width="8.85546875" style="159"/>
    <col min="6913" max="6913" width="3.85546875" style="159" customWidth="1"/>
    <col min="6914" max="6915" width="7.42578125" style="159" customWidth="1"/>
    <col min="6916" max="6916" width="6.5703125" style="159" customWidth="1"/>
    <col min="6917" max="6917" width="4.7109375" style="159" customWidth="1"/>
    <col min="6918" max="6918" width="5.7109375" style="159" customWidth="1"/>
    <col min="6919" max="6919" width="31.140625" style="159" customWidth="1"/>
    <col min="6920" max="6920" width="8.5703125" style="159" customWidth="1"/>
    <col min="6921" max="6921" width="10.140625" style="159" customWidth="1"/>
    <col min="6922" max="6922" width="9.5703125" style="159" bestFit="1" customWidth="1"/>
    <col min="6923" max="7168" width="8.85546875" style="159"/>
    <col min="7169" max="7169" width="3.85546875" style="159" customWidth="1"/>
    <col min="7170" max="7171" width="7.42578125" style="159" customWidth="1"/>
    <col min="7172" max="7172" width="6.5703125" style="159" customWidth="1"/>
    <col min="7173" max="7173" width="4.7109375" style="159" customWidth="1"/>
    <col min="7174" max="7174" width="5.7109375" style="159" customWidth="1"/>
    <col min="7175" max="7175" width="31.140625" style="159" customWidth="1"/>
    <col min="7176" max="7176" width="8.5703125" style="159" customWidth="1"/>
    <col min="7177" max="7177" width="10.140625" style="159" customWidth="1"/>
    <col min="7178" max="7178" width="9.5703125" style="159" bestFit="1" customWidth="1"/>
    <col min="7179" max="7424" width="8.85546875" style="159"/>
    <col min="7425" max="7425" width="3.85546875" style="159" customWidth="1"/>
    <col min="7426" max="7427" width="7.42578125" style="159" customWidth="1"/>
    <col min="7428" max="7428" width="6.5703125" style="159" customWidth="1"/>
    <col min="7429" max="7429" width="4.7109375" style="159" customWidth="1"/>
    <col min="7430" max="7430" width="5.7109375" style="159" customWidth="1"/>
    <col min="7431" max="7431" width="31.140625" style="159" customWidth="1"/>
    <col min="7432" max="7432" width="8.5703125" style="159" customWidth="1"/>
    <col min="7433" max="7433" width="10.140625" style="159" customWidth="1"/>
    <col min="7434" max="7434" width="9.5703125" style="159" bestFit="1" customWidth="1"/>
    <col min="7435" max="7680" width="8.85546875" style="159"/>
    <col min="7681" max="7681" width="3.85546875" style="159" customWidth="1"/>
    <col min="7682" max="7683" width="7.42578125" style="159" customWidth="1"/>
    <col min="7684" max="7684" width="6.5703125" style="159" customWidth="1"/>
    <col min="7685" max="7685" width="4.7109375" style="159" customWidth="1"/>
    <col min="7686" max="7686" width="5.7109375" style="159" customWidth="1"/>
    <col min="7687" max="7687" width="31.140625" style="159" customWidth="1"/>
    <col min="7688" max="7688" width="8.5703125" style="159" customWidth="1"/>
    <col min="7689" max="7689" width="10.140625" style="159" customWidth="1"/>
    <col min="7690" max="7690" width="9.5703125" style="159" bestFit="1" customWidth="1"/>
    <col min="7691" max="7936" width="8.85546875" style="159"/>
    <col min="7937" max="7937" width="3.85546875" style="159" customWidth="1"/>
    <col min="7938" max="7939" width="7.42578125" style="159" customWidth="1"/>
    <col min="7940" max="7940" width="6.5703125" style="159" customWidth="1"/>
    <col min="7941" max="7941" width="4.7109375" style="159" customWidth="1"/>
    <col min="7942" max="7942" width="5.7109375" style="159" customWidth="1"/>
    <col min="7943" max="7943" width="31.140625" style="159" customWidth="1"/>
    <col min="7944" max="7944" width="8.5703125" style="159" customWidth="1"/>
    <col min="7945" max="7945" width="10.140625" style="159" customWidth="1"/>
    <col min="7946" max="7946" width="9.5703125" style="159" bestFit="1" customWidth="1"/>
    <col min="7947" max="8192" width="8.85546875" style="159"/>
    <col min="8193" max="8193" width="3.85546875" style="159" customWidth="1"/>
    <col min="8194" max="8195" width="7.42578125" style="159" customWidth="1"/>
    <col min="8196" max="8196" width="6.5703125" style="159" customWidth="1"/>
    <col min="8197" max="8197" width="4.7109375" style="159" customWidth="1"/>
    <col min="8198" max="8198" width="5.7109375" style="159" customWidth="1"/>
    <col min="8199" max="8199" width="31.140625" style="159" customWidth="1"/>
    <col min="8200" max="8200" width="8.5703125" style="159" customWidth="1"/>
    <col min="8201" max="8201" width="10.140625" style="159" customWidth="1"/>
    <col min="8202" max="8202" width="9.5703125" style="159" bestFit="1" customWidth="1"/>
    <col min="8203" max="8448" width="8.85546875" style="159"/>
    <col min="8449" max="8449" width="3.85546875" style="159" customWidth="1"/>
    <col min="8450" max="8451" width="7.42578125" style="159" customWidth="1"/>
    <col min="8452" max="8452" width="6.5703125" style="159" customWidth="1"/>
    <col min="8453" max="8453" width="4.7109375" style="159" customWidth="1"/>
    <col min="8454" max="8454" width="5.7109375" style="159" customWidth="1"/>
    <col min="8455" max="8455" width="31.140625" style="159" customWidth="1"/>
    <col min="8456" max="8456" width="8.5703125" style="159" customWidth="1"/>
    <col min="8457" max="8457" width="10.140625" style="159" customWidth="1"/>
    <col min="8458" max="8458" width="9.5703125" style="159" bestFit="1" customWidth="1"/>
    <col min="8459" max="8704" width="8.85546875" style="159"/>
    <col min="8705" max="8705" width="3.85546875" style="159" customWidth="1"/>
    <col min="8706" max="8707" width="7.42578125" style="159" customWidth="1"/>
    <col min="8708" max="8708" width="6.5703125" style="159" customWidth="1"/>
    <col min="8709" max="8709" width="4.7109375" style="159" customWidth="1"/>
    <col min="8710" max="8710" width="5.7109375" style="159" customWidth="1"/>
    <col min="8711" max="8711" width="31.140625" style="159" customWidth="1"/>
    <col min="8712" max="8712" width="8.5703125" style="159" customWidth="1"/>
    <col min="8713" max="8713" width="10.140625" style="159" customWidth="1"/>
    <col min="8714" max="8714" width="9.5703125" style="159" bestFit="1" customWidth="1"/>
    <col min="8715" max="8960" width="8.85546875" style="159"/>
    <col min="8961" max="8961" width="3.85546875" style="159" customWidth="1"/>
    <col min="8962" max="8963" width="7.42578125" style="159" customWidth="1"/>
    <col min="8964" max="8964" width="6.5703125" style="159" customWidth="1"/>
    <col min="8965" max="8965" width="4.7109375" style="159" customWidth="1"/>
    <col min="8966" max="8966" width="5.7109375" style="159" customWidth="1"/>
    <col min="8967" max="8967" width="31.140625" style="159" customWidth="1"/>
    <col min="8968" max="8968" width="8.5703125" style="159" customWidth="1"/>
    <col min="8969" max="8969" width="10.140625" style="159" customWidth="1"/>
    <col min="8970" max="8970" width="9.5703125" style="159" bestFit="1" customWidth="1"/>
    <col min="8971" max="9216" width="8.85546875" style="159"/>
    <col min="9217" max="9217" width="3.85546875" style="159" customWidth="1"/>
    <col min="9218" max="9219" width="7.42578125" style="159" customWidth="1"/>
    <col min="9220" max="9220" width="6.5703125" style="159" customWidth="1"/>
    <col min="9221" max="9221" width="4.7109375" style="159" customWidth="1"/>
    <col min="9222" max="9222" width="5.7109375" style="159" customWidth="1"/>
    <col min="9223" max="9223" width="31.140625" style="159" customWidth="1"/>
    <col min="9224" max="9224" width="8.5703125" style="159" customWidth="1"/>
    <col min="9225" max="9225" width="10.140625" style="159" customWidth="1"/>
    <col min="9226" max="9226" width="9.5703125" style="159" bestFit="1" customWidth="1"/>
    <col min="9227" max="9472" width="8.85546875" style="159"/>
    <col min="9473" max="9473" width="3.85546875" style="159" customWidth="1"/>
    <col min="9474" max="9475" width="7.42578125" style="159" customWidth="1"/>
    <col min="9476" max="9476" width="6.5703125" style="159" customWidth="1"/>
    <col min="9477" max="9477" width="4.7109375" style="159" customWidth="1"/>
    <col min="9478" max="9478" width="5.7109375" style="159" customWidth="1"/>
    <col min="9479" max="9479" width="31.140625" style="159" customWidth="1"/>
    <col min="9480" max="9480" width="8.5703125" style="159" customWidth="1"/>
    <col min="9481" max="9481" width="10.140625" style="159" customWidth="1"/>
    <col min="9482" max="9482" width="9.5703125" style="159" bestFit="1" customWidth="1"/>
    <col min="9483" max="9728" width="8.85546875" style="159"/>
    <col min="9729" max="9729" width="3.85546875" style="159" customWidth="1"/>
    <col min="9730" max="9731" width="7.42578125" style="159" customWidth="1"/>
    <col min="9732" max="9732" width="6.5703125" style="159" customWidth="1"/>
    <col min="9733" max="9733" width="4.7109375" style="159" customWidth="1"/>
    <col min="9734" max="9734" width="5.7109375" style="159" customWidth="1"/>
    <col min="9735" max="9735" width="31.140625" style="159" customWidth="1"/>
    <col min="9736" max="9736" width="8.5703125" style="159" customWidth="1"/>
    <col min="9737" max="9737" width="10.140625" style="159" customWidth="1"/>
    <col min="9738" max="9738" width="9.5703125" style="159" bestFit="1" customWidth="1"/>
    <col min="9739" max="9984" width="8.85546875" style="159"/>
    <col min="9985" max="9985" width="3.85546875" style="159" customWidth="1"/>
    <col min="9986" max="9987" width="7.42578125" style="159" customWidth="1"/>
    <col min="9988" max="9988" width="6.5703125" style="159" customWidth="1"/>
    <col min="9989" max="9989" width="4.7109375" style="159" customWidth="1"/>
    <col min="9990" max="9990" width="5.7109375" style="159" customWidth="1"/>
    <col min="9991" max="9991" width="31.140625" style="159" customWidth="1"/>
    <col min="9992" max="9992" width="8.5703125" style="159" customWidth="1"/>
    <col min="9993" max="9993" width="10.140625" style="159" customWidth="1"/>
    <col min="9994" max="9994" width="9.5703125" style="159" bestFit="1" customWidth="1"/>
    <col min="9995" max="10240" width="8.85546875" style="159"/>
    <col min="10241" max="10241" width="3.85546875" style="159" customWidth="1"/>
    <col min="10242" max="10243" width="7.42578125" style="159" customWidth="1"/>
    <col min="10244" max="10244" width="6.5703125" style="159" customWidth="1"/>
    <col min="10245" max="10245" width="4.7109375" style="159" customWidth="1"/>
    <col min="10246" max="10246" width="5.7109375" style="159" customWidth="1"/>
    <col min="10247" max="10247" width="31.140625" style="159" customWidth="1"/>
    <col min="10248" max="10248" width="8.5703125" style="159" customWidth="1"/>
    <col min="10249" max="10249" width="10.140625" style="159" customWidth="1"/>
    <col min="10250" max="10250" width="9.5703125" style="159" bestFit="1" customWidth="1"/>
    <col min="10251" max="10496" width="8.85546875" style="159"/>
    <col min="10497" max="10497" width="3.85546875" style="159" customWidth="1"/>
    <col min="10498" max="10499" width="7.42578125" style="159" customWidth="1"/>
    <col min="10500" max="10500" width="6.5703125" style="159" customWidth="1"/>
    <col min="10501" max="10501" width="4.7109375" style="159" customWidth="1"/>
    <col min="10502" max="10502" width="5.7109375" style="159" customWidth="1"/>
    <col min="10503" max="10503" width="31.140625" style="159" customWidth="1"/>
    <col min="10504" max="10504" width="8.5703125" style="159" customWidth="1"/>
    <col min="10505" max="10505" width="10.140625" style="159" customWidth="1"/>
    <col min="10506" max="10506" width="9.5703125" style="159" bestFit="1" customWidth="1"/>
    <col min="10507" max="10752" width="8.85546875" style="159"/>
    <col min="10753" max="10753" width="3.85546875" style="159" customWidth="1"/>
    <col min="10754" max="10755" width="7.42578125" style="159" customWidth="1"/>
    <col min="10756" max="10756" width="6.5703125" style="159" customWidth="1"/>
    <col min="10757" max="10757" width="4.7109375" style="159" customWidth="1"/>
    <col min="10758" max="10758" width="5.7109375" style="159" customWidth="1"/>
    <col min="10759" max="10759" width="31.140625" style="159" customWidth="1"/>
    <col min="10760" max="10760" width="8.5703125" style="159" customWidth="1"/>
    <col min="10761" max="10761" width="10.140625" style="159" customWidth="1"/>
    <col min="10762" max="10762" width="9.5703125" style="159" bestFit="1" customWidth="1"/>
    <col min="10763" max="11008" width="8.85546875" style="159"/>
    <col min="11009" max="11009" width="3.85546875" style="159" customWidth="1"/>
    <col min="11010" max="11011" width="7.42578125" style="159" customWidth="1"/>
    <col min="11012" max="11012" width="6.5703125" style="159" customWidth="1"/>
    <col min="11013" max="11013" width="4.7109375" style="159" customWidth="1"/>
    <col min="11014" max="11014" width="5.7109375" style="159" customWidth="1"/>
    <col min="11015" max="11015" width="31.140625" style="159" customWidth="1"/>
    <col min="11016" max="11016" width="8.5703125" style="159" customWidth="1"/>
    <col min="11017" max="11017" width="10.140625" style="159" customWidth="1"/>
    <col min="11018" max="11018" width="9.5703125" style="159" bestFit="1" customWidth="1"/>
    <col min="11019" max="11264" width="8.85546875" style="159"/>
    <col min="11265" max="11265" width="3.85546875" style="159" customWidth="1"/>
    <col min="11266" max="11267" width="7.42578125" style="159" customWidth="1"/>
    <col min="11268" max="11268" width="6.5703125" style="159" customWidth="1"/>
    <col min="11269" max="11269" width="4.7109375" style="159" customWidth="1"/>
    <col min="11270" max="11270" width="5.7109375" style="159" customWidth="1"/>
    <col min="11271" max="11271" width="31.140625" style="159" customWidth="1"/>
    <col min="11272" max="11272" width="8.5703125" style="159" customWidth="1"/>
    <col min="11273" max="11273" width="10.140625" style="159" customWidth="1"/>
    <col min="11274" max="11274" width="9.5703125" style="159" bestFit="1" customWidth="1"/>
    <col min="11275" max="11520" width="8.85546875" style="159"/>
    <col min="11521" max="11521" width="3.85546875" style="159" customWidth="1"/>
    <col min="11522" max="11523" width="7.42578125" style="159" customWidth="1"/>
    <col min="11524" max="11524" width="6.5703125" style="159" customWidth="1"/>
    <col min="11525" max="11525" width="4.7109375" style="159" customWidth="1"/>
    <col min="11526" max="11526" width="5.7109375" style="159" customWidth="1"/>
    <col min="11527" max="11527" width="31.140625" style="159" customWidth="1"/>
    <col min="11528" max="11528" width="8.5703125" style="159" customWidth="1"/>
    <col min="11529" max="11529" width="10.140625" style="159" customWidth="1"/>
    <col min="11530" max="11530" width="9.5703125" style="159" bestFit="1" customWidth="1"/>
    <col min="11531" max="11776" width="8.85546875" style="159"/>
    <col min="11777" max="11777" width="3.85546875" style="159" customWidth="1"/>
    <col min="11778" max="11779" width="7.42578125" style="159" customWidth="1"/>
    <col min="11780" max="11780" width="6.5703125" style="159" customWidth="1"/>
    <col min="11781" max="11781" width="4.7109375" style="159" customWidth="1"/>
    <col min="11782" max="11782" width="5.7109375" style="159" customWidth="1"/>
    <col min="11783" max="11783" width="31.140625" style="159" customWidth="1"/>
    <col min="11784" max="11784" width="8.5703125" style="159" customWidth="1"/>
    <col min="11785" max="11785" width="10.140625" style="159" customWidth="1"/>
    <col min="11786" max="11786" width="9.5703125" style="159" bestFit="1" customWidth="1"/>
    <col min="11787" max="12032" width="8.85546875" style="159"/>
    <col min="12033" max="12033" width="3.85546875" style="159" customWidth="1"/>
    <col min="12034" max="12035" width="7.42578125" style="159" customWidth="1"/>
    <col min="12036" max="12036" width="6.5703125" style="159" customWidth="1"/>
    <col min="12037" max="12037" width="4.7109375" style="159" customWidth="1"/>
    <col min="12038" max="12038" width="5.7109375" style="159" customWidth="1"/>
    <col min="12039" max="12039" width="31.140625" style="159" customWidth="1"/>
    <col min="12040" max="12040" width="8.5703125" style="159" customWidth="1"/>
    <col min="12041" max="12041" width="10.140625" style="159" customWidth="1"/>
    <col min="12042" max="12042" width="9.5703125" style="159" bestFit="1" customWidth="1"/>
    <col min="12043" max="12288" width="8.85546875" style="159"/>
    <col min="12289" max="12289" width="3.85546875" style="159" customWidth="1"/>
    <col min="12290" max="12291" width="7.42578125" style="159" customWidth="1"/>
    <col min="12292" max="12292" width="6.5703125" style="159" customWidth="1"/>
    <col min="12293" max="12293" width="4.7109375" style="159" customWidth="1"/>
    <col min="12294" max="12294" width="5.7109375" style="159" customWidth="1"/>
    <col min="12295" max="12295" width="31.140625" style="159" customWidth="1"/>
    <col min="12296" max="12296" width="8.5703125" style="159" customWidth="1"/>
    <col min="12297" max="12297" width="10.140625" style="159" customWidth="1"/>
    <col min="12298" max="12298" width="9.5703125" style="159" bestFit="1" customWidth="1"/>
    <col min="12299" max="12544" width="8.85546875" style="159"/>
    <col min="12545" max="12545" width="3.85546875" style="159" customWidth="1"/>
    <col min="12546" max="12547" width="7.42578125" style="159" customWidth="1"/>
    <col min="12548" max="12548" width="6.5703125" style="159" customWidth="1"/>
    <col min="12549" max="12549" width="4.7109375" style="159" customWidth="1"/>
    <col min="12550" max="12550" width="5.7109375" style="159" customWidth="1"/>
    <col min="12551" max="12551" width="31.140625" style="159" customWidth="1"/>
    <col min="12552" max="12552" width="8.5703125" style="159" customWidth="1"/>
    <col min="12553" max="12553" width="10.140625" style="159" customWidth="1"/>
    <col min="12554" max="12554" width="9.5703125" style="159" bestFit="1" customWidth="1"/>
    <col min="12555" max="12800" width="8.85546875" style="159"/>
    <col min="12801" max="12801" width="3.85546875" style="159" customWidth="1"/>
    <col min="12802" max="12803" width="7.42578125" style="159" customWidth="1"/>
    <col min="12804" max="12804" width="6.5703125" style="159" customWidth="1"/>
    <col min="12805" max="12805" width="4.7109375" style="159" customWidth="1"/>
    <col min="12806" max="12806" width="5.7109375" style="159" customWidth="1"/>
    <col min="12807" max="12807" width="31.140625" style="159" customWidth="1"/>
    <col min="12808" max="12808" width="8.5703125" style="159" customWidth="1"/>
    <col min="12809" max="12809" width="10.140625" style="159" customWidth="1"/>
    <col min="12810" max="12810" width="9.5703125" style="159" bestFit="1" customWidth="1"/>
    <col min="12811" max="13056" width="8.85546875" style="159"/>
    <col min="13057" max="13057" width="3.85546875" style="159" customWidth="1"/>
    <col min="13058" max="13059" width="7.42578125" style="159" customWidth="1"/>
    <col min="13060" max="13060" width="6.5703125" style="159" customWidth="1"/>
    <col min="13061" max="13061" width="4.7109375" style="159" customWidth="1"/>
    <col min="13062" max="13062" width="5.7109375" style="159" customWidth="1"/>
    <col min="13063" max="13063" width="31.140625" style="159" customWidth="1"/>
    <col min="13064" max="13064" width="8.5703125" style="159" customWidth="1"/>
    <col min="13065" max="13065" width="10.140625" style="159" customWidth="1"/>
    <col min="13066" max="13066" width="9.5703125" style="159" bestFit="1" customWidth="1"/>
    <col min="13067" max="13312" width="8.85546875" style="159"/>
    <col min="13313" max="13313" width="3.85546875" style="159" customWidth="1"/>
    <col min="13314" max="13315" width="7.42578125" style="159" customWidth="1"/>
    <col min="13316" max="13316" width="6.5703125" style="159" customWidth="1"/>
    <col min="13317" max="13317" width="4.7109375" style="159" customWidth="1"/>
    <col min="13318" max="13318" width="5.7109375" style="159" customWidth="1"/>
    <col min="13319" max="13319" width="31.140625" style="159" customWidth="1"/>
    <col min="13320" max="13320" width="8.5703125" style="159" customWidth="1"/>
    <col min="13321" max="13321" width="10.140625" style="159" customWidth="1"/>
    <col min="13322" max="13322" width="9.5703125" style="159" bestFit="1" customWidth="1"/>
    <col min="13323" max="13568" width="8.85546875" style="159"/>
    <col min="13569" max="13569" width="3.85546875" style="159" customWidth="1"/>
    <col min="13570" max="13571" width="7.42578125" style="159" customWidth="1"/>
    <col min="13572" max="13572" width="6.5703125" style="159" customWidth="1"/>
    <col min="13573" max="13573" width="4.7109375" style="159" customWidth="1"/>
    <col min="13574" max="13574" width="5.7109375" style="159" customWidth="1"/>
    <col min="13575" max="13575" width="31.140625" style="159" customWidth="1"/>
    <col min="13576" max="13576" width="8.5703125" style="159" customWidth="1"/>
    <col min="13577" max="13577" width="10.140625" style="159" customWidth="1"/>
    <col min="13578" max="13578" width="9.5703125" style="159" bestFit="1" customWidth="1"/>
    <col min="13579" max="13824" width="8.85546875" style="159"/>
    <col min="13825" max="13825" width="3.85546875" style="159" customWidth="1"/>
    <col min="13826" max="13827" width="7.42578125" style="159" customWidth="1"/>
    <col min="13828" max="13828" width="6.5703125" style="159" customWidth="1"/>
    <col min="13829" max="13829" width="4.7109375" style="159" customWidth="1"/>
    <col min="13830" max="13830" width="5.7109375" style="159" customWidth="1"/>
    <col min="13831" max="13831" width="31.140625" style="159" customWidth="1"/>
    <col min="13832" max="13832" width="8.5703125" style="159" customWidth="1"/>
    <col min="13833" max="13833" width="10.140625" style="159" customWidth="1"/>
    <col min="13834" max="13834" width="9.5703125" style="159" bestFit="1" customWidth="1"/>
    <col min="13835" max="14080" width="8.85546875" style="159"/>
    <col min="14081" max="14081" width="3.85546875" style="159" customWidth="1"/>
    <col min="14082" max="14083" width="7.42578125" style="159" customWidth="1"/>
    <col min="14084" max="14084" width="6.5703125" style="159" customWidth="1"/>
    <col min="14085" max="14085" width="4.7109375" style="159" customWidth="1"/>
    <col min="14086" max="14086" width="5.7109375" style="159" customWidth="1"/>
    <col min="14087" max="14087" width="31.140625" style="159" customWidth="1"/>
    <col min="14088" max="14088" width="8.5703125" style="159" customWidth="1"/>
    <col min="14089" max="14089" width="10.140625" style="159" customWidth="1"/>
    <col min="14090" max="14090" width="9.5703125" style="159" bestFit="1" customWidth="1"/>
    <col min="14091" max="14336" width="8.85546875" style="159"/>
    <col min="14337" max="14337" width="3.85546875" style="159" customWidth="1"/>
    <col min="14338" max="14339" width="7.42578125" style="159" customWidth="1"/>
    <col min="14340" max="14340" width="6.5703125" style="159" customWidth="1"/>
    <col min="14341" max="14341" width="4.7109375" style="159" customWidth="1"/>
    <col min="14342" max="14342" width="5.7109375" style="159" customWidth="1"/>
    <col min="14343" max="14343" width="31.140625" style="159" customWidth="1"/>
    <col min="14344" max="14344" width="8.5703125" style="159" customWidth="1"/>
    <col min="14345" max="14345" width="10.140625" style="159" customWidth="1"/>
    <col min="14346" max="14346" width="9.5703125" style="159" bestFit="1" customWidth="1"/>
    <col min="14347" max="14592" width="8.85546875" style="159"/>
    <col min="14593" max="14593" width="3.85546875" style="159" customWidth="1"/>
    <col min="14594" max="14595" width="7.42578125" style="159" customWidth="1"/>
    <col min="14596" max="14596" width="6.5703125" style="159" customWidth="1"/>
    <col min="14597" max="14597" width="4.7109375" style="159" customWidth="1"/>
    <col min="14598" max="14598" width="5.7109375" style="159" customWidth="1"/>
    <col min="14599" max="14599" width="31.140625" style="159" customWidth="1"/>
    <col min="14600" max="14600" width="8.5703125" style="159" customWidth="1"/>
    <col min="14601" max="14601" width="10.140625" style="159" customWidth="1"/>
    <col min="14602" max="14602" width="9.5703125" style="159" bestFit="1" customWidth="1"/>
    <col min="14603" max="14848" width="8.85546875" style="159"/>
    <col min="14849" max="14849" width="3.85546875" style="159" customWidth="1"/>
    <col min="14850" max="14851" width="7.42578125" style="159" customWidth="1"/>
    <col min="14852" max="14852" width="6.5703125" style="159" customWidth="1"/>
    <col min="14853" max="14853" width="4.7109375" style="159" customWidth="1"/>
    <col min="14854" max="14854" width="5.7109375" style="159" customWidth="1"/>
    <col min="14855" max="14855" width="31.140625" style="159" customWidth="1"/>
    <col min="14856" max="14856" width="8.5703125" style="159" customWidth="1"/>
    <col min="14857" max="14857" width="10.140625" style="159" customWidth="1"/>
    <col min="14858" max="14858" width="9.5703125" style="159" bestFit="1" customWidth="1"/>
    <col min="14859" max="15104" width="8.85546875" style="159"/>
    <col min="15105" max="15105" width="3.85546875" style="159" customWidth="1"/>
    <col min="15106" max="15107" width="7.42578125" style="159" customWidth="1"/>
    <col min="15108" max="15108" width="6.5703125" style="159" customWidth="1"/>
    <col min="15109" max="15109" width="4.7109375" style="159" customWidth="1"/>
    <col min="15110" max="15110" width="5.7109375" style="159" customWidth="1"/>
    <col min="15111" max="15111" width="31.140625" style="159" customWidth="1"/>
    <col min="15112" max="15112" width="8.5703125" style="159" customWidth="1"/>
    <col min="15113" max="15113" width="10.140625" style="159" customWidth="1"/>
    <col min="15114" max="15114" width="9.5703125" style="159" bestFit="1" customWidth="1"/>
    <col min="15115" max="15360" width="8.85546875" style="159"/>
    <col min="15361" max="15361" width="3.85546875" style="159" customWidth="1"/>
    <col min="15362" max="15363" width="7.42578125" style="159" customWidth="1"/>
    <col min="15364" max="15364" width="6.5703125" style="159" customWidth="1"/>
    <col min="15365" max="15365" width="4.7109375" style="159" customWidth="1"/>
    <col min="15366" max="15366" width="5.7109375" style="159" customWidth="1"/>
    <col min="15367" max="15367" width="31.140625" style="159" customWidth="1"/>
    <col min="15368" max="15368" width="8.5703125" style="159" customWidth="1"/>
    <col min="15369" max="15369" width="10.140625" style="159" customWidth="1"/>
    <col min="15370" max="15370" width="9.5703125" style="159" bestFit="1" customWidth="1"/>
    <col min="15371" max="15616" width="8.85546875" style="159"/>
    <col min="15617" max="15617" width="3.85546875" style="159" customWidth="1"/>
    <col min="15618" max="15619" width="7.42578125" style="159" customWidth="1"/>
    <col min="15620" max="15620" width="6.5703125" style="159" customWidth="1"/>
    <col min="15621" max="15621" width="4.7109375" style="159" customWidth="1"/>
    <col min="15622" max="15622" width="5.7109375" style="159" customWidth="1"/>
    <col min="15623" max="15623" width="31.140625" style="159" customWidth="1"/>
    <col min="15624" max="15624" width="8.5703125" style="159" customWidth="1"/>
    <col min="15625" max="15625" width="10.140625" style="159" customWidth="1"/>
    <col min="15626" max="15626" width="9.5703125" style="159" bestFit="1" customWidth="1"/>
    <col min="15627" max="15872" width="8.85546875" style="159"/>
    <col min="15873" max="15873" width="3.85546875" style="159" customWidth="1"/>
    <col min="15874" max="15875" width="7.42578125" style="159" customWidth="1"/>
    <col min="15876" max="15876" width="6.5703125" style="159" customWidth="1"/>
    <col min="15877" max="15877" width="4.7109375" style="159" customWidth="1"/>
    <col min="15878" max="15878" width="5.7109375" style="159" customWidth="1"/>
    <col min="15879" max="15879" width="31.140625" style="159" customWidth="1"/>
    <col min="15880" max="15880" width="8.5703125" style="159" customWidth="1"/>
    <col min="15881" max="15881" width="10.140625" style="159" customWidth="1"/>
    <col min="15882" max="15882" width="9.5703125" style="159" bestFit="1" customWidth="1"/>
    <col min="15883" max="16128" width="8.85546875" style="159"/>
    <col min="16129" max="16129" width="3.85546875" style="159" customWidth="1"/>
    <col min="16130" max="16131" width="7.42578125" style="159" customWidth="1"/>
    <col min="16132" max="16132" width="6.5703125" style="159" customWidth="1"/>
    <col min="16133" max="16133" width="4.7109375" style="159" customWidth="1"/>
    <col min="16134" max="16134" width="5.7109375" style="159" customWidth="1"/>
    <col min="16135" max="16135" width="31.140625" style="159" customWidth="1"/>
    <col min="16136" max="16136" width="8.5703125" style="159" customWidth="1"/>
    <col min="16137" max="16137" width="10.140625" style="159" customWidth="1"/>
    <col min="16138" max="16138" width="9.5703125" style="159" bestFit="1" customWidth="1"/>
    <col min="16139" max="16384" width="8.85546875" style="159"/>
  </cols>
  <sheetData>
    <row r="1" spans="1:10" ht="23.45" customHeight="1">
      <c r="G1" s="192"/>
      <c r="H1" s="192"/>
      <c r="I1" s="47"/>
    </row>
    <row r="2" spans="1:10">
      <c r="F2" s="193"/>
      <c r="G2" s="193"/>
      <c r="H2" s="193"/>
      <c r="I2" s="193"/>
    </row>
    <row r="4" spans="1:10" ht="13.5" thickBot="1"/>
    <row r="5" spans="1:10" s="48" customFormat="1" ht="15.75" thickBot="1">
      <c r="A5" s="194" t="s">
        <v>39</v>
      </c>
      <c r="B5" s="195"/>
      <c r="C5" s="195"/>
      <c r="D5" s="195"/>
      <c r="E5" s="195"/>
      <c r="F5" s="195"/>
      <c r="G5" s="196"/>
      <c r="H5" s="197" t="s">
        <v>83</v>
      </c>
      <c r="I5" s="198"/>
      <c r="J5" s="199"/>
    </row>
    <row r="6" spans="1:10" s="48" customFormat="1" ht="15.75" thickBot="1">
      <c r="A6" s="186" t="s">
        <v>40</v>
      </c>
      <c r="B6" s="187"/>
      <c r="C6" s="187"/>
      <c r="D6" s="187"/>
      <c r="E6" s="187"/>
      <c r="F6" s="187"/>
      <c r="G6" s="188"/>
      <c r="H6" s="189" t="s">
        <v>41</v>
      </c>
      <c r="I6" s="190"/>
      <c r="J6" s="191"/>
    </row>
    <row r="7" spans="1:10" s="48" customFormat="1" ht="15.75" thickBot="1">
      <c r="A7" s="201" t="s">
        <v>42</v>
      </c>
      <c r="B7" s="202"/>
      <c r="C7" s="202"/>
      <c r="D7" s="202"/>
      <c r="E7" s="202"/>
      <c r="F7" s="202"/>
      <c r="G7" s="203"/>
      <c r="H7" s="189" t="s">
        <v>43</v>
      </c>
      <c r="I7" s="190"/>
      <c r="J7" s="191"/>
    </row>
    <row r="8" spans="1:10">
      <c r="E8" s="204"/>
      <c r="F8" s="204"/>
      <c r="G8" s="204"/>
      <c r="H8" s="204"/>
      <c r="I8" s="204"/>
    </row>
    <row r="9" spans="1:10" ht="18" customHeight="1">
      <c r="A9" s="49" t="s">
        <v>44</v>
      </c>
      <c r="B9" s="49"/>
      <c r="C9" s="205"/>
      <c r="D9" s="205"/>
      <c r="E9" s="205"/>
      <c r="F9" s="205"/>
      <c r="G9" s="206"/>
      <c r="H9" s="50"/>
      <c r="I9" s="50"/>
    </row>
    <row r="10" spans="1:10" ht="15.75" hidden="1">
      <c r="A10" s="51"/>
      <c r="B10" s="51"/>
      <c r="C10" s="50"/>
      <c r="D10" s="50"/>
      <c r="E10" s="50"/>
      <c r="F10" s="50"/>
      <c r="G10" s="50"/>
      <c r="H10" s="50"/>
      <c r="I10" s="50"/>
    </row>
    <row r="11" spans="1:10" ht="1.1499999999999999" customHeight="1">
      <c r="A11" s="51"/>
      <c r="B11" s="51"/>
      <c r="C11" s="52"/>
      <c r="D11" s="51"/>
      <c r="E11" s="51"/>
      <c r="F11" s="51"/>
    </row>
    <row r="12" spans="1:10" ht="1.1499999999999999" customHeight="1">
      <c r="A12" s="51"/>
      <c r="B12" s="51"/>
      <c r="C12" s="52"/>
      <c r="D12" s="51"/>
      <c r="E12" s="51"/>
      <c r="F12" s="51"/>
    </row>
    <row r="13" spans="1:10" ht="1.1499999999999999" customHeight="1" thickBot="1">
      <c r="A13" s="51"/>
      <c r="B13" s="51"/>
      <c r="C13" s="52"/>
      <c r="D13" s="51"/>
      <c r="E13" s="51"/>
      <c r="F13" s="51"/>
    </row>
    <row r="14" spans="1:10" ht="26.25" customHeight="1" thickBot="1">
      <c r="A14" s="53" t="s">
        <v>45</v>
      </c>
      <c r="B14" s="54" t="s">
        <v>46</v>
      </c>
      <c r="C14" s="55" t="s">
        <v>47</v>
      </c>
      <c r="D14" s="55" t="s">
        <v>48</v>
      </c>
      <c r="E14" s="56" t="s">
        <v>49</v>
      </c>
      <c r="F14" s="57" t="s">
        <v>50</v>
      </c>
      <c r="G14" s="57" t="s">
        <v>51</v>
      </c>
      <c r="H14" s="57" t="s">
        <v>52</v>
      </c>
      <c r="I14" s="58" t="s">
        <v>53</v>
      </c>
      <c r="J14" s="58" t="s">
        <v>30</v>
      </c>
    </row>
    <row r="15" spans="1:10" s="48" customFormat="1" ht="14.25" customHeight="1">
      <c r="A15" s="59">
        <v>1</v>
      </c>
      <c r="B15" s="60"/>
      <c r="C15" s="61"/>
      <c r="D15" s="61"/>
      <c r="E15" s="61"/>
      <c r="F15" s="62">
        <v>1</v>
      </c>
      <c r="G15" s="63"/>
      <c r="H15" s="93"/>
      <c r="I15" s="64">
        <f>(C15*D15*E15*F15)/1000000</f>
        <v>0</v>
      </c>
      <c r="J15" s="65">
        <f>H15*I15</f>
        <v>0</v>
      </c>
    </row>
    <row r="16" spans="1:10" s="48" customFormat="1" ht="13.5" customHeight="1">
      <c r="A16" s="66">
        <v>2</v>
      </c>
      <c r="B16" s="67"/>
      <c r="C16" s="68"/>
      <c r="D16" s="68"/>
      <c r="E16" s="68"/>
      <c r="F16" s="69">
        <v>1</v>
      </c>
      <c r="G16" s="70"/>
      <c r="H16" s="155"/>
      <c r="I16" s="71">
        <f t="shared" ref="I16:I33" si="0">(C16*D16*E16*F16)/1000000</f>
        <v>0</v>
      </c>
      <c r="J16" s="72">
        <f t="shared" ref="J16:J33" si="1">H16*I16</f>
        <v>0</v>
      </c>
    </row>
    <row r="17" spans="1:10" s="48" customFormat="1" ht="13.5" customHeight="1">
      <c r="A17" s="66">
        <v>3</v>
      </c>
      <c r="B17" s="67"/>
      <c r="C17" s="68"/>
      <c r="D17" s="68"/>
      <c r="E17" s="68"/>
      <c r="F17" s="69">
        <v>1</v>
      </c>
      <c r="G17" s="70"/>
      <c r="H17" s="155"/>
      <c r="I17" s="71">
        <f t="shared" si="0"/>
        <v>0</v>
      </c>
      <c r="J17" s="72">
        <f t="shared" si="1"/>
        <v>0</v>
      </c>
    </row>
    <row r="18" spans="1:10" s="48" customFormat="1" ht="13.5" customHeight="1">
      <c r="A18" s="66">
        <v>4</v>
      </c>
      <c r="B18" s="67"/>
      <c r="C18" s="68"/>
      <c r="D18" s="68"/>
      <c r="E18" s="68"/>
      <c r="F18" s="69">
        <v>1</v>
      </c>
      <c r="G18" s="70"/>
      <c r="H18" s="155"/>
      <c r="I18" s="71">
        <f t="shared" si="0"/>
        <v>0</v>
      </c>
      <c r="J18" s="72">
        <f t="shared" si="1"/>
        <v>0</v>
      </c>
    </row>
    <row r="19" spans="1:10" s="78" customFormat="1" ht="14.25" customHeight="1">
      <c r="A19" s="73">
        <v>5</v>
      </c>
      <c r="B19" s="74"/>
      <c r="C19" s="68"/>
      <c r="D19" s="68"/>
      <c r="E19" s="68"/>
      <c r="F19" s="75">
        <v>1</v>
      </c>
      <c r="G19" s="70"/>
      <c r="H19" s="70"/>
      <c r="I19" s="76">
        <f t="shared" si="0"/>
        <v>0</v>
      </c>
      <c r="J19" s="77">
        <f t="shared" si="1"/>
        <v>0</v>
      </c>
    </row>
    <row r="20" spans="1:10" s="48" customFormat="1" ht="13.5" customHeight="1">
      <c r="A20" s="66">
        <v>6</v>
      </c>
      <c r="B20" s="67"/>
      <c r="C20" s="79"/>
      <c r="D20" s="79"/>
      <c r="E20" s="79"/>
      <c r="F20" s="69">
        <v>1</v>
      </c>
      <c r="G20" s="70"/>
      <c r="H20" s="70"/>
      <c r="I20" s="71">
        <f t="shared" si="0"/>
        <v>0</v>
      </c>
      <c r="J20" s="72">
        <f t="shared" si="1"/>
        <v>0</v>
      </c>
    </row>
    <row r="21" spans="1:10" s="48" customFormat="1" ht="12.75" customHeight="1">
      <c r="A21" s="66">
        <v>7</v>
      </c>
      <c r="B21" s="67"/>
      <c r="C21" s="79"/>
      <c r="D21" s="79"/>
      <c r="E21" s="79"/>
      <c r="F21" s="69">
        <v>1</v>
      </c>
      <c r="G21" s="70"/>
      <c r="H21" s="70"/>
      <c r="I21" s="71">
        <f t="shared" si="0"/>
        <v>0</v>
      </c>
      <c r="J21" s="72">
        <f t="shared" si="1"/>
        <v>0</v>
      </c>
    </row>
    <row r="22" spans="1:10" s="48" customFormat="1" ht="12.75" customHeight="1">
      <c r="A22" s="66">
        <v>8</v>
      </c>
      <c r="B22" s="67"/>
      <c r="C22" s="79"/>
      <c r="D22" s="79"/>
      <c r="E22" s="79"/>
      <c r="F22" s="69">
        <v>1</v>
      </c>
      <c r="G22" s="70"/>
      <c r="H22" s="70"/>
      <c r="I22" s="71">
        <f t="shared" si="0"/>
        <v>0</v>
      </c>
      <c r="J22" s="72">
        <f t="shared" si="1"/>
        <v>0</v>
      </c>
    </row>
    <row r="23" spans="1:10" s="48" customFormat="1" ht="14.25" customHeight="1">
      <c r="A23" s="66">
        <v>9</v>
      </c>
      <c r="B23" s="67"/>
      <c r="C23" s="79"/>
      <c r="D23" s="79"/>
      <c r="E23" s="79"/>
      <c r="F23" s="69">
        <v>1</v>
      </c>
      <c r="G23" s="70"/>
      <c r="H23" s="70"/>
      <c r="I23" s="71">
        <f t="shared" si="0"/>
        <v>0</v>
      </c>
      <c r="J23" s="72">
        <f t="shared" si="1"/>
        <v>0</v>
      </c>
    </row>
    <row r="24" spans="1:10" s="48" customFormat="1" ht="15" customHeight="1">
      <c r="A24" s="66">
        <v>10</v>
      </c>
      <c r="B24" s="67"/>
      <c r="C24" s="79"/>
      <c r="D24" s="79"/>
      <c r="E24" s="79"/>
      <c r="F24" s="69">
        <v>1</v>
      </c>
      <c r="G24" s="70"/>
      <c r="H24" s="70"/>
      <c r="I24" s="71">
        <f t="shared" si="0"/>
        <v>0</v>
      </c>
      <c r="J24" s="72">
        <f t="shared" si="1"/>
        <v>0</v>
      </c>
    </row>
    <row r="25" spans="1:10" s="48" customFormat="1" ht="15.75" customHeight="1">
      <c r="A25" s="66">
        <v>11</v>
      </c>
      <c r="B25" s="67"/>
      <c r="C25" s="79"/>
      <c r="D25" s="79"/>
      <c r="E25" s="79"/>
      <c r="F25" s="69">
        <v>1</v>
      </c>
      <c r="G25" s="70"/>
      <c r="H25" s="70"/>
      <c r="I25" s="71">
        <f t="shared" si="0"/>
        <v>0</v>
      </c>
      <c r="J25" s="72">
        <f t="shared" si="1"/>
        <v>0</v>
      </c>
    </row>
    <row r="26" spans="1:10" s="48" customFormat="1" ht="13.5" customHeight="1">
      <c r="A26" s="66">
        <v>12</v>
      </c>
      <c r="B26" s="67"/>
      <c r="C26" s="79"/>
      <c r="D26" s="79"/>
      <c r="E26" s="79"/>
      <c r="F26" s="69">
        <v>1</v>
      </c>
      <c r="G26" s="70"/>
      <c r="H26" s="70"/>
      <c r="I26" s="71">
        <f t="shared" si="0"/>
        <v>0</v>
      </c>
      <c r="J26" s="72">
        <f t="shared" si="1"/>
        <v>0</v>
      </c>
    </row>
    <row r="27" spans="1:10" s="48" customFormat="1" ht="13.5" customHeight="1">
      <c r="A27" s="66">
        <v>13</v>
      </c>
      <c r="B27" s="67"/>
      <c r="C27" s="79"/>
      <c r="D27" s="79"/>
      <c r="E27" s="79"/>
      <c r="F27" s="69">
        <v>1</v>
      </c>
      <c r="G27" s="70"/>
      <c r="H27" s="70"/>
      <c r="I27" s="71">
        <f t="shared" si="0"/>
        <v>0</v>
      </c>
      <c r="J27" s="72">
        <f t="shared" si="1"/>
        <v>0</v>
      </c>
    </row>
    <row r="28" spans="1:10" s="48" customFormat="1" ht="12.75" customHeight="1">
      <c r="A28" s="66">
        <v>14</v>
      </c>
      <c r="B28" s="67"/>
      <c r="C28" s="79"/>
      <c r="D28" s="79"/>
      <c r="E28" s="79"/>
      <c r="F28" s="69">
        <v>1</v>
      </c>
      <c r="G28" s="70"/>
      <c r="H28" s="70"/>
      <c r="I28" s="71">
        <f t="shared" si="0"/>
        <v>0</v>
      </c>
      <c r="J28" s="72">
        <f t="shared" si="1"/>
        <v>0</v>
      </c>
    </row>
    <row r="29" spans="1:10" s="48" customFormat="1" ht="13.5" customHeight="1">
      <c r="A29" s="66">
        <v>15</v>
      </c>
      <c r="B29" s="67"/>
      <c r="C29" s="79"/>
      <c r="D29" s="79"/>
      <c r="E29" s="79"/>
      <c r="F29" s="69">
        <v>1</v>
      </c>
      <c r="G29" s="70"/>
      <c r="H29" s="70"/>
      <c r="I29" s="71">
        <f t="shared" si="0"/>
        <v>0</v>
      </c>
      <c r="J29" s="72">
        <f t="shared" si="1"/>
        <v>0</v>
      </c>
    </row>
    <row r="30" spans="1:10" s="48" customFormat="1" ht="14.25" customHeight="1">
      <c r="A30" s="66">
        <v>16</v>
      </c>
      <c r="B30" s="67"/>
      <c r="C30" s="80"/>
      <c r="D30" s="80"/>
      <c r="E30" s="79"/>
      <c r="F30" s="69">
        <v>1</v>
      </c>
      <c r="G30" s="70"/>
      <c r="H30" s="70"/>
      <c r="I30" s="71">
        <f t="shared" si="0"/>
        <v>0</v>
      </c>
      <c r="J30" s="72">
        <f t="shared" si="1"/>
        <v>0</v>
      </c>
    </row>
    <row r="31" spans="1:10" s="48" customFormat="1" ht="15" customHeight="1">
      <c r="A31" s="66">
        <v>17</v>
      </c>
      <c r="B31" s="67"/>
      <c r="C31" s="80"/>
      <c r="D31" s="80"/>
      <c r="E31" s="80"/>
      <c r="F31" s="69">
        <v>1</v>
      </c>
      <c r="G31" s="70"/>
      <c r="H31" s="70"/>
      <c r="I31" s="71">
        <f t="shared" si="0"/>
        <v>0</v>
      </c>
      <c r="J31" s="72">
        <f t="shared" si="1"/>
        <v>0</v>
      </c>
    </row>
    <row r="32" spans="1:10" s="48" customFormat="1" ht="15">
      <c r="A32" s="66">
        <v>18</v>
      </c>
      <c r="B32" s="67"/>
      <c r="C32" s="80"/>
      <c r="D32" s="80"/>
      <c r="E32" s="80"/>
      <c r="F32" s="69">
        <v>1</v>
      </c>
      <c r="G32" s="70"/>
      <c r="H32" s="70"/>
      <c r="I32" s="71">
        <f t="shared" si="0"/>
        <v>0</v>
      </c>
      <c r="J32" s="72">
        <f t="shared" si="1"/>
        <v>0</v>
      </c>
    </row>
    <row r="33" spans="1:14" s="48" customFormat="1" ht="15">
      <c r="A33" s="66">
        <v>19</v>
      </c>
      <c r="B33" s="67"/>
      <c r="C33" s="80"/>
      <c r="D33" s="80"/>
      <c r="E33" s="80"/>
      <c r="F33" s="69">
        <v>1</v>
      </c>
      <c r="G33" s="70"/>
      <c r="H33" s="70"/>
      <c r="I33" s="71">
        <f t="shared" si="0"/>
        <v>0</v>
      </c>
      <c r="J33" s="72">
        <f t="shared" si="1"/>
        <v>0</v>
      </c>
    </row>
    <row r="34" spans="1:14" s="48" customFormat="1" ht="15">
      <c r="A34" s="66">
        <v>21</v>
      </c>
      <c r="B34" s="67"/>
      <c r="C34" s="80"/>
      <c r="D34" s="80"/>
      <c r="E34" s="80"/>
      <c r="F34" s="69">
        <v>1</v>
      </c>
      <c r="G34" s="70"/>
      <c r="H34" s="70"/>
      <c r="I34" s="71">
        <f>(C34*D34*E34*F34)/1000000</f>
        <v>0</v>
      </c>
      <c r="J34" s="72">
        <f>H34*I34</f>
        <v>0</v>
      </c>
    </row>
    <row r="35" spans="1:14" s="48" customFormat="1" ht="15">
      <c r="A35" s="66">
        <v>22</v>
      </c>
      <c r="B35" s="67"/>
      <c r="C35" s="80"/>
      <c r="D35" s="80"/>
      <c r="E35" s="80"/>
      <c r="F35" s="69">
        <v>1</v>
      </c>
      <c r="G35" s="70"/>
      <c r="H35" s="70"/>
      <c r="I35" s="71">
        <f>(C35*D35*E35*F35)/1000000</f>
        <v>0</v>
      </c>
      <c r="J35" s="72">
        <f>H35*I35</f>
        <v>0</v>
      </c>
    </row>
    <row r="36" spans="1:14" s="48" customFormat="1" ht="15">
      <c r="A36" s="66">
        <v>23</v>
      </c>
      <c r="B36" s="67"/>
      <c r="C36" s="80"/>
      <c r="D36" s="80"/>
      <c r="E36" s="80"/>
      <c r="F36" s="69">
        <v>1</v>
      </c>
      <c r="G36" s="70"/>
      <c r="H36" s="70"/>
      <c r="I36" s="71">
        <f>(C36*D36*E36*F36)/1000000</f>
        <v>0</v>
      </c>
      <c r="J36" s="72">
        <f>H36*I36</f>
        <v>0</v>
      </c>
    </row>
    <row r="37" spans="1:14" s="48" customFormat="1" ht="15">
      <c r="A37" s="66">
        <v>24</v>
      </c>
      <c r="B37" s="67"/>
      <c r="C37" s="81"/>
      <c r="D37" s="82"/>
      <c r="E37" s="83"/>
      <c r="F37" s="69">
        <v>1</v>
      </c>
      <c r="G37" s="70"/>
      <c r="H37" s="70"/>
      <c r="I37" s="71">
        <f>(C37*D37*E37*F37)/1000000</f>
        <v>0</v>
      </c>
      <c r="J37" s="72">
        <f>H37*I37</f>
        <v>0</v>
      </c>
      <c r="N37" s="84"/>
    </row>
    <row r="38" spans="1:14" s="48" customFormat="1" ht="15">
      <c r="A38" s="66">
        <v>25</v>
      </c>
      <c r="B38" s="67"/>
      <c r="C38" s="81"/>
      <c r="D38" s="82"/>
      <c r="E38" s="83"/>
      <c r="F38" s="69">
        <v>1</v>
      </c>
      <c r="G38" s="70"/>
      <c r="H38" s="70"/>
      <c r="I38" s="71">
        <f>(C38*D38*E38*F38)/1000000</f>
        <v>0</v>
      </c>
      <c r="J38" s="72">
        <f>H38*I38</f>
        <v>0</v>
      </c>
    </row>
    <row r="39" spans="1:14" s="48" customFormat="1" ht="15.75" thickBot="1">
      <c r="A39" s="85"/>
      <c r="B39" s="86"/>
      <c r="C39" s="87"/>
      <c r="D39" s="87"/>
      <c r="E39" s="87"/>
      <c r="F39" s="88"/>
      <c r="G39" s="87"/>
      <c r="H39" s="87" t="s">
        <v>31</v>
      </c>
      <c r="I39" s="89">
        <f>SUM(I15:I38)</f>
        <v>0</v>
      </c>
      <c r="J39" s="90">
        <f>SUM(J15:J38)</f>
        <v>0</v>
      </c>
    </row>
    <row r="40" spans="1:14" s="48" customFormat="1" ht="15.75" customHeight="1" thickBot="1">
      <c r="A40" s="207" t="s">
        <v>54</v>
      </c>
      <c r="B40" s="208"/>
      <c r="C40" s="208"/>
      <c r="D40" s="208"/>
      <c r="E40" s="208"/>
      <c r="F40" s="208"/>
      <c r="G40" s="208"/>
      <c r="H40" s="208"/>
      <c r="I40" s="208"/>
      <c r="J40" s="209"/>
    </row>
    <row r="41" spans="1:14" s="48" customFormat="1" ht="15">
      <c r="A41" s="91">
        <v>1</v>
      </c>
      <c r="B41" s="92"/>
      <c r="C41" s="63"/>
      <c r="D41" s="93"/>
      <c r="E41" s="94"/>
      <c r="F41" s="95">
        <v>1</v>
      </c>
      <c r="G41" s="96"/>
      <c r="H41" s="97"/>
      <c r="I41" s="98"/>
      <c r="J41" s="99"/>
    </row>
    <row r="42" spans="1:14" s="48" customFormat="1" ht="15">
      <c r="A42" s="100">
        <v>2</v>
      </c>
      <c r="B42" s="101"/>
      <c r="C42" s="79"/>
      <c r="D42" s="79"/>
      <c r="E42" s="102"/>
      <c r="F42" s="103">
        <v>1</v>
      </c>
      <c r="G42" s="104"/>
      <c r="H42" s="70"/>
      <c r="I42" s="105"/>
      <c r="J42" s="106"/>
    </row>
    <row r="43" spans="1:14" s="78" customFormat="1" ht="15">
      <c r="A43" s="107">
        <v>3</v>
      </c>
      <c r="B43" s="108"/>
      <c r="C43" s="109"/>
      <c r="D43" s="110"/>
      <c r="E43" s="111"/>
      <c r="F43" s="112">
        <v>1</v>
      </c>
      <c r="G43" s="104"/>
      <c r="H43" s="109"/>
      <c r="I43" s="113"/>
      <c r="J43" s="114"/>
    </row>
    <row r="44" spans="1:14" s="48" customFormat="1" ht="15">
      <c r="A44" s="100">
        <v>4</v>
      </c>
      <c r="B44" s="101"/>
      <c r="C44" s="70"/>
      <c r="D44" s="110"/>
      <c r="E44" s="115"/>
      <c r="F44" s="103">
        <v>1</v>
      </c>
      <c r="G44" s="104"/>
      <c r="H44" s="70"/>
      <c r="I44" s="105"/>
      <c r="J44" s="106"/>
    </row>
    <row r="45" spans="1:14" s="48" customFormat="1" ht="15.75" thickBot="1">
      <c r="A45" s="85">
        <v>5</v>
      </c>
      <c r="B45" s="86"/>
      <c r="C45" s="116"/>
      <c r="D45" s="117"/>
      <c r="E45" s="118"/>
      <c r="F45" s="119">
        <v>1</v>
      </c>
      <c r="G45" s="120"/>
      <c r="H45" s="116"/>
      <c r="I45" s="121"/>
      <c r="J45" s="90"/>
    </row>
    <row r="46" spans="1:14" s="48" customFormat="1" ht="15.75" thickBot="1">
      <c r="A46" s="122"/>
      <c r="B46" s="122"/>
      <c r="C46" s="123"/>
      <c r="D46" s="124"/>
      <c r="E46" s="125"/>
      <c r="F46" s="103"/>
      <c r="G46" s="126"/>
      <c r="H46" s="127" t="s">
        <v>31</v>
      </c>
      <c r="I46" s="128"/>
      <c r="J46" s="129"/>
    </row>
    <row r="47" spans="1:14" ht="13.5" thickBot="1">
      <c r="G47" s="210" t="s">
        <v>55</v>
      </c>
      <c r="H47" s="211"/>
      <c r="I47" s="212"/>
      <c r="J47" s="130"/>
    </row>
    <row r="48" spans="1:14" ht="12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</row>
    <row r="49" spans="1:10" ht="12.75" customHeight="1">
      <c r="A49" s="160"/>
      <c r="B49" s="160"/>
      <c r="C49" s="160"/>
      <c r="D49" s="213"/>
      <c r="E49" s="213"/>
      <c r="F49" s="213"/>
      <c r="G49" s="213"/>
      <c r="H49" s="213"/>
      <c r="I49" s="213"/>
      <c r="J49" s="160"/>
    </row>
    <row r="50" spans="1:10" s="132" customFormat="1">
      <c r="A50" s="214" t="s">
        <v>56</v>
      </c>
      <c r="B50" s="214"/>
      <c r="C50" s="215"/>
      <c r="G50" s="216"/>
      <c r="H50" s="216"/>
      <c r="I50" s="133"/>
    </row>
    <row r="51" spans="1:10">
      <c r="A51" s="159" t="s">
        <v>57</v>
      </c>
      <c r="C51" s="134"/>
    </row>
    <row r="52" spans="1:10">
      <c r="C52" s="134"/>
    </row>
    <row r="53" spans="1:10">
      <c r="C53" s="134"/>
    </row>
    <row r="54" spans="1:10">
      <c r="C54" s="134"/>
    </row>
    <row r="56" spans="1:10" ht="15.75">
      <c r="A56" s="200"/>
      <c r="B56" s="200"/>
      <c r="C56" s="200"/>
      <c r="D56" s="200"/>
      <c r="E56" s="200"/>
      <c r="F56" s="200"/>
      <c r="G56" s="200"/>
      <c r="H56" s="200"/>
      <c r="I56" s="200"/>
    </row>
    <row r="57" spans="1:10">
      <c r="A57" s="218"/>
      <c r="B57" s="218"/>
      <c r="C57" s="218"/>
      <c r="D57" s="218"/>
      <c r="E57" s="218"/>
      <c r="F57" s="218"/>
      <c r="G57" s="218"/>
      <c r="H57" s="218"/>
      <c r="I57" s="218"/>
    </row>
    <row r="58" spans="1:10">
      <c r="A58" s="219"/>
      <c r="B58" s="219"/>
      <c r="C58" s="219"/>
      <c r="D58" s="219"/>
      <c r="E58" s="219"/>
      <c r="F58" s="219"/>
      <c r="G58" s="219"/>
      <c r="H58" s="219"/>
      <c r="I58" s="219"/>
    </row>
    <row r="59" spans="1:10">
      <c r="A59" s="219"/>
      <c r="B59" s="219"/>
      <c r="C59" s="219"/>
      <c r="D59" s="219"/>
      <c r="E59" s="219"/>
      <c r="F59" s="219"/>
      <c r="G59" s="219"/>
      <c r="H59" s="219"/>
      <c r="I59" s="219"/>
    </row>
    <row r="60" spans="1:10">
      <c r="A60" s="217"/>
      <c r="B60" s="217"/>
      <c r="C60" s="217"/>
      <c r="D60" s="217"/>
      <c r="E60" s="217"/>
      <c r="F60" s="217"/>
      <c r="G60" s="217"/>
      <c r="H60" s="217"/>
      <c r="I60" s="217"/>
    </row>
    <row r="61" spans="1:10">
      <c r="A61" s="217"/>
      <c r="B61" s="217"/>
      <c r="C61" s="217"/>
      <c r="D61" s="217"/>
      <c r="E61" s="217"/>
      <c r="F61" s="217"/>
      <c r="G61" s="217"/>
      <c r="H61" s="217"/>
      <c r="I61" s="217"/>
    </row>
    <row r="62" spans="1:10">
      <c r="A62" s="217"/>
      <c r="B62" s="217"/>
      <c r="C62" s="217"/>
      <c r="D62" s="217"/>
      <c r="E62" s="217"/>
      <c r="F62" s="217"/>
      <c r="G62" s="217"/>
      <c r="H62" s="217"/>
      <c r="I62" s="217"/>
    </row>
    <row r="63" spans="1:10">
      <c r="A63" s="217"/>
      <c r="B63" s="217"/>
      <c r="C63" s="217"/>
      <c r="D63" s="217"/>
      <c r="E63" s="217"/>
      <c r="F63" s="217"/>
      <c r="G63" s="217"/>
      <c r="H63" s="217"/>
      <c r="I63" s="217"/>
    </row>
    <row r="64" spans="1:10">
      <c r="A64" s="217"/>
      <c r="B64" s="217"/>
      <c r="C64" s="217"/>
      <c r="D64" s="217"/>
      <c r="E64" s="217"/>
      <c r="F64" s="217"/>
      <c r="G64" s="217"/>
      <c r="H64" s="217"/>
      <c r="I64" s="217"/>
    </row>
    <row r="65" spans="1:9">
      <c r="A65" s="217"/>
      <c r="B65" s="217"/>
      <c r="C65" s="217"/>
      <c r="D65" s="217"/>
      <c r="E65" s="217"/>
      <c r="F65" s="217"/>
      <c r="G65" s="217"/>
      <c r="H65" s="217"/>
      <c r="I65" s="217"/>
    </row>
    <row r="66" spans="1:9">
      <c r="A66" s="217"/>
      <c r="B66" s="217"/>
      <c r="C66" s="217"/>
      <c r="D66" s="217"/>
      <c r="E66" s="217"/>
      <c r="F66" s="217"/>
      <c r="G66" s="217"/>
      <c r="H66" s="217"/>
      <c r="I66" s="217"/>
    </row>
    <row r="67" spans="1:9">
      <c r="A67" s="217"/>
      <c r="B67" s="217"/>
      <c r="C67" s="217"/>
      <c r="D67" s="217"/>
      <c r="E67" s="217"/>
      <c r="F67" s="217"/>
      <c r="G67" s="217"/>
      <c r="H67" s="217"/>
      <c r="I67" s="217"/>
    </row>
    <row r="68" spans="1:9">
      <c r="A68" s="217"/>
      <c r="B68" s="217"/>
      <c r="C68" s="217"/>
      <c r="D68" s="217"/>
      <c r="E68" s="217"/>
      <c r="F68" s="217"/>
      <c r="G68" s="217"/>
      <c r="H68" s="217"/>
      <c r="I68" s="217"/>
    </row>
    <row r="69" spans="1:9">
      <c r="A69" s="217"/>
      <c r="B69" s="217"/>
      <c r="C69" s="217"/>
      <c r="D69" s="217"/>
      <c r="E69" s="217"/>
      <c r="F69" s="217"/>
      <c r="G69" s="217"/>
      <c r="H69" s="217"/>
      <c r="I69" s="217"/>
    </row>
    <row r="70" spans="1:9">
      <c r="A70" s="217"/>
      <c r="B70" s="217"/>
      <c r="C70" s="217"/>
      <c r="D70" s="217"/>
      <c r="E70" s="217"/>
      <c r="F70" s="217"/>
      <c r="G70" s="217"/>
      <c r="H70" s="217"/>
      <c r="I70" s="217"/>
    </row>
    <row r="71" spans="1:9">
      <c r="A71" s="217"/>
      <c r="B71" s="217"/>
      <c r="C71" s="217"/>
      <c r="D71" s="217"/>
      <c r="E71" s="217"/>
      <c r="F71" s="217"/>
      <c r="G71" s="217"/>
      <c r="H71" s="217"/>
      <c r="I71" s="217"/>
    </row>
    <row r="72" spans="1:9">
      <c r="A72" s="217"/>
      <c r="B72" s="217"/>
      <c r="C72" s="217"/>
      <c r="D72" s="217"/>
      <c r="E72" s="217"/>
      <c r="F72" s="217"/>
      <c r="G72" s="217"/>
      <c r="H72" s="217"/>
      <c r="I72" s="217"/>
    </row>
    <row r="73" spans="1:9">
      <c r="A73" s="217"/>
      <c r="B73" s="217"/>
      <c r="C73" s="217"/>
      <c r="D73" s="217"/>
      <c r="E73" s="217"/>
      <c r="F73" s="217"/>
      <c r="G73" s="217"/>
      <c r="H73" s="217"/>
      <c r="I73" s="217"/>
    </row>
    <row r="74" spans="1:9">
      <c r="A74" s="217"/>
      <c r="B74" s="217"/>
      <c r="C74" s="217"/>
      <c r="D74" s="217"/>
      <c r="E74" s="217"/>
      <c r="F74" s="217"/>
      <c r="G74" s="217"/>
      <c r="H74" s="217"/>
      <c r="I74" s="217"/>
    </row>
    <row r="75" spans="1:9">
      <c r="A75" s="217"/>
      <c r="B75" s="217"/>
      <c r="C75" s="217"/>
      <c r="D75" s="217"/>
      <c r="E75" s="217"/>
      <c r="F75" s="217"/>
      <c r="G75" s="217"/>
      <c r="H75" s="217"/>
      <c r="I75" s="217"/>
    </row>
    <row r="76" spans="1:9">
      <c r="A76" s="217"/>
      <c r="B76" s="217"/>
      <c r="C76" s="217"/>
      <c r="D76" s="217"/>
      <c r="E76" s="217"/>
      <c r="F76" s="217"/>
      <c r="G76" s="217"/>
      <c r="H76" s="217"/>
      <c r="I76" s="217"/>
    </row>
  </sheetData>
  <mergeCells count="40">
    <mergeCell ref="A75:I75"/>
    <mergeCell ref="A76:I76"/>
    <mergeCell ref="A69:I69"/>
    <mergeCell ref="A70:I70"/>
    <mergeCell ref="A71:I71"/>
    <mergeCell ref="A72:I72"/>
    <mergeCell ref="A73:I73"/>
    <mergeCell ref="A74:I74"/>
    <mergeCell ref="A68:I68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56:I56"/>
    <mergeCell ref="A7:D7"/>
    <mergeCell ref="E7:G7"/>
    <mergeCell ref="H7:J7"/>
    <mergeCell ref="E8:I8"/>
    <mergeCell ref="C9:G9"/>
    <mergeCell ref="A40:J40"/>
    <mergeCell ref="G47:I47"/>
    <mergeCell ref="A48:J48"/>
    <mergeCell ref="D49:I49"/>
    <mergeCell ref="A50:C50"/>
    <mergeCell ref="G50:H50"/>
    <mergeCell ref="A6:D6"/>
    <mergeCell ref="E6:G6"/>
    <mergeCell ref="H6:J6"/>
    <mergeCell ref="G1:H1"/>
    <mergeCell ref="F2:I2"/>
    <mergeCell ref="A5:D5"/>
    <mergeCell ref="E5:G5"/>
    <mergeCell ref="H5:J5"/>
  </mergeCells>
  <pageMargins left="0.47244094488188981" right="0.27559055118110237" top="0.74803149606299213" bottom="0.74803149606299213" header="0.15748031496062992" footer="7.874015748031496E-2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N12" sqref="N12"/>
    </sheetView>
  </sheetViews>
  <sheetFormatPr defaultColWidth="9.140625" defaultRowHeight="15"/>
  <cols>
    <col min="1" max="1" width="6.5703125" style="139" bestFit="1" customWidth="1"/>
    <col min="2" max="2" width="4.85546875" style="139" bestFit="1" customWidth="1"/>
    <col min="3" max="3" width="4.28515625" style="139" bestFit="1" customWidth="1"/>
    <col min="4" max="4" width="9" style="139" bestFit="1" customWidth="1"/>
    <col min="5" max="5" width="9.140625" style="139"/>
    <col min="6" max="6" width="6.5703125" style="139" bestFit="1" customWidth="1"/>
    <col min="7" max="7" width="4.85546875" style="139" bestFit="1" customWidth="1"/>
    <col min="8" max="8" width="4.28515625" style="139" bestFit="1" customWidth="1"/>
    <col min="9" max="9" width="9" style="139" bestFit="1" customWidth="1"/>
    <col min="10" max="16384" width="9.140625" style="139"/>
  </cols>
  <sheetData>
    <row r="1" spans="1:19" ht="15.75" thickBot="1">
      <c r="A1" s="135" t="s">
        <v>59</v>
      </c>
      <c r="B1" s="136"/>
      <c r="C1" s="137"/>
      <c r="D1" s="138">
        <v>1600</v>
      </c>
      <c r="F1" s="135" t="s">
        <v>59</v>
      </c>
      <c r="G1" s="136"/>
      <c r="H1" s="137"/>
      <c r="I1" s="138">
        <v>1900</v>
      </c>
      <c r="K1" s="135" t="s">
        <v>59</v>
      </c>
      <c r="L1" s="137"/>
      <c r="N1" s="138">
        <v>350</v>
      </c>
      <c r="P1" s="135" t="s">
        <v>59</v>
      </c>
      <c r="Q1" s="137"/>
      <c r="S1" s="138"/>
    </row>
    <row r="2" spans="1:19" ht="15.75" thickBot="1">
      <c r="A2" s="139" t="s">
        <v>60</v>
      </c>
      <c r="D2" s="139">
        <v>1.05</v>
      </c>
      <c r="F2" s="139" t="s">
        <v>60</v>
      </c>
      <c r="I2" s="139">
        <v>1.05</v>
      </c>
      <c r="K2" s="139" t="s">
        <v>60</v>
      </c>
      <c r="N2" s="139">
        <v>1.05</v>
      </c>
      <c r="P2" s="139" t="s">
        <v>60</v>
      </c>
      <c r="S2" s="139">
        <v>1</v>
      </c>
    </row>
    <row r="3" spans="1:19" ht="15.75" thickBot="1">
      <c r="A3" s="220" t="s">
        <v>61</v>
      </c>
      <c r="B3" s="221"/>
      <c r="C3" s="221"/>
      <c r="D3" s="222"/>
      <c r="F3" s="220" t="s">
        <v>62</v>
      </c>
      <c r="G3" s="221"/>
      <c r="H3" s="221"/>
      <c r="I3" s="222"/>
      <c r="K3" s="220" t="s">
        <v>63</v>
      </c>
      <c r="L3" s="221"/>
      <c r="M3" s="221"/>
      <c r="N3" s="222"/>
      <c r="P3" s="220" t="s">
        <v>64</v>
      </c>
      <c r="Q3" s="221"/>
      <c r="R3" s="221"/>
      <c r="S3" s="222"/>
    </row>
    <row r="4" spans="1:19">
      <c r="A4" s="139" t="s">
        <v>65</v>
      </c>
      <c r="B4" s="139" t="s">
        <v>66</v>
      </c>
      <c r="C4" s="139" t="s">
        <v>67</v>
      </c>
      <c r="D4" s="139" t="s">
        <v>68</v>
      </c>
      <c r="F4" s="139" t="s">
        <v>65</v>
      </c>
      <c r="G4" s="139" t="s">
        <v>66</v>
      </c>
      <c r="H4" s="139" t="s">
        <v>67</v>
      </c>
      <c r="I4" s="139" t="s">
        <v>68</v>
      </c>
      <c r="K4" s="139" t="s">
        <v>65</v>
      </c>
      <c r="L4" s="139" t="s">
        <v>66</v>
      </c>
      <c r="M4" s="139" t="s">
        <v>67</v>
      </c>
      <c r="N4" s="139" t="s">
        <v>68</v>
      </c>
      <c r="P4" s="139" t="s">
        <v>65</v>
      </c>
      <c r="Q4" s="139" t="s">
        <v>66</v>
      </c>
      <c r="R4" s="139" t="s">
        <v>67</v>
      </c>
      <c r="S4" s="139" t="s">
        <v>68</v>
      </c>
    </row>
    <row r="5" spans="1:19">
      <c r="D5" s="139">
        <f>(A5*B5*C5)/1000000</f>
        <v>0</v>
      </c>
      <c r="I5" s="139">
        <f>(F5*G5*H5)/1000000</f>
        <v>0</v>
      </c>
      <c r="N5" s="139">
        <f>(K5*L5*M5)/1000000</f>
        <v>0</v>
      </c>
      <c r="S5" s="139">
        <f>(P5*Q5*R5)/1000000</f>
        <v>0</v>
      </c>
    </row>
    <row r="6" spans="1:19">
      <c r="D6" s="139">
        <f t="shared" ref="D6:D25" si="0">(A6*B6*C6)/1000000</f>
        <v>0</v>
      </c>
      <c r="I6" s="139">
        <f>(F6*G6*H6)/1000000</f>
        <v>0</v>
      </c>
      <c r="N6" s="139">
        <f>(K6*L6*M6)/1000000</f>
        <v>0</v>
      </c>
      <c r="S6" s="139">
        <f>(P6*Q6*R6)/1000000</f>
        <v>0</v>
      </c>
    </row>
    <row r="7" spans="1:19">
      <c r="D7" s="139">
        <f t="shared" si="0"/>
        <v>0</v>
      </c>
      <c r="I7" s="139">
        <f t="shared" ref="I7:I25" si="1">(F7*G7*H7)/1000000</f>
        <v>0</v>
      </c>
      <c r="N7" s="139">
        <f t="shared" ref="N7:N25" si="2">(K7*L7*M7)/1000000</f>
        <v>0</v>
      </c>
      <c r="S7" s="139">
        <f t="shared" ref="S7:S25" si="3">(P7*Q7*R7)/1000000</f>
        <v>0</v>
      </c>
    </row>
    <row r="8" spans="1:19">
      <c r="D8" s="139">
        <f t="shared" si="0"/>
        <v>0</v>
      </c>
      <c r="I8" s="139">
        <f t="shared" si="1"/>
        <v>0</v>
      </c>
      <c r="N8" s="139">
        <f t="shared" si="2"/>
        <v>0</v>
      </c>
      <c r="S8" s="139">
        <f t="shared" si="3"/>
        <v>0</v>
      </c>
    </row>
    <row r="9" spans="1:19">
      <c r="D9" s="139">
        <f t="shared" si="0"/>
        <v>0</v>
      </c>
      <c r="I9" s="139">
        <f t="shared" si="1"/>
        <v>0</v>
      </c>
      <c r="N9" s="139">
        <f t="shared" si="2"/>
        <v>0</v>
      </c>
      <c r="S9" s="139">
        <f t="shared" si="3"/>
        <v>0</v>
      </c>
    </row>
    <row r="10" spans="1:19">
      <c r="D10" s="139">
        <f t="shared" si="0"/>
        <v>0</v>
      </c>
      <c r="I10" s="139">
        <f t="shared" si="1"/>
        <v>0</v>
      </c>
      <c r="N10" s="139">
        <f t="shared" si="2"/>
        <v>0</v>
      </c>
      <c r="S10" s="139">
        <f t="shared" si="3"/>
        <v>0</v>
      </c>
    </row>
    <row r="11" spans="1:19">
      <c r="D11" s="139">
        <f t="shared" si="0"/>
        <v>0</v>
      </c>
      <c r="I11" s="139">
        <f t="shared" si="1"/>
        <v>0</v>
      </c>
      <c r="N11" s="139">
        <f t="shared" si="2"/>
        <v>0</v>
      </c>
      <c r="S11" s="139">
        <f t="shared" si="3"/>
        <v>0</v>
      </c>
    </row>
    <row r="12" spans="1:19">
      <c r="D12" s="139">
        <f t="shared" si="0"/>
        <v>0</v>
      </c>
      <c r="I12" s="139">
        <f t="shared" si="1"/>
        <v>0</v>
      </c>
      <c r="N12" s="139">
        <f t="shared" si="2"/>
        <v>0</v>
      </c>
      <c r="S12" s="139">
        <f t="shared" si="3"/>
        <v>0</v>
      </c>
    </row>
    <row r="13" spans="1:19">
      <c r="D13" s="139">
        <f t="shared" si="0"/>
        <v>0</v>
      </c>
      <c r="I13" s="139">
        <f t="shared" si="1"/>
        <v>0</v>
      </c>
      <c r="N13" s="139">
        <f t="shared" si="2"/>
        <v>0</v>
      </c>
      <c r="S13" s="139">
        <f t="shared" si="3"/>
        <v>0</v>
      </c>
    </row>
    <row r="14" spans="1:19">
      <c r="D14" s="139">
        <f t="shared" si="0"/>
        <v>0</v>
      </c>
      <c r="I14" s="139">
        <f t="shared" si="1"/>
        <v>0</v>
      </c>
      <c r="N14" s="139">
        <f t="shared" si="2"/>
        <v>0</v>
      </c>
      <c r="S14" s="139">
        <f t="shared" si="3"/>
        <v>0</v>
      </c>
    </row>
    <row r="15" spans="1:19">
      <c r="D15" s="139">
        <f t="shared" si="0"/>
        <v>0</v>
      </c>
      <c r="I15" s="139">
        <f t="shared" si="1"/>
        <v>0</v>
      </c>
      <c r="N15" s="139">
        <f t="shared" si="2"/>
        <v>0</v>
      </c>
      <c r="S15" s="139">
        <f t="shared" si="3"/>
        <v>0</v>
      </c>
    </row>
    <row r="16" spans="1:19">
      <c r="D16" s="139">
        <f t="shared" si="0"/>
        <v>0</v>
      </c>
      <c r="I16" s="139">
        <f t="shared" si="1"/>
        <v>0</v>
      </c>
      <c r="N16" s="139">
        <f t="shared" si="2"/>
        <v>0</v>
      </c>
      <c r="S16" s="139">
        <f t="shared" si="3"/>
        <v>0</v>
      </c>
    </row>
    <row r="17" spans="1:19">
      <c r="D17" s="139">
        <f t="shared" si="0"/>
        <v>0</v>
      </c>
      <c r="I17" s="139">
        <f t="shared" si="1"/>
        <v>0</v>
      </c>
      <c r="N17" s="139">
        <f t="shared" si="2"/>
        <v>0</v>
      </c>
      <c r="S17" s="139">
        <f t="shared" si="3"/>
        <v>0</v>
      </c>
    </row>
    <row r="18" spans="1:19">
      <c r="D18" s="139">
        <f t="shared" si="0"/>
        <v>0</v>
      </c>
      <c r="I18" s="139">
        <f t="shared" si="1"/>
        <v>0</v>
      </c>
      <c r="N18" s="139">
        <f t="shared" si="2"/>
        <v>0</v>
      </c>
      <c r="S18" s="139">
        <f t="shared" si="3"/>
        <v>0</v>
      </c>
    </row>
    <row r="19" spans="1:19">
      <c r="D19" s="139">
        <f t="shared" si="0"/>
        <v>0</v>
      </c>
      <c r="I19" s="139">
        <f t="shared" si="1"/>
        <v>0</v>
      </c>
      <c r="N19" s="139">
        <f t="shared" si="2"/>
        <v>0</v>
      </c>
      <c r="S19" s="139">
        <f t="shared" si="3"/>
        <v>0</v>
      </c>
    </row>
    <row r="20" spans="1:19">
      <c r="D20" s="139">
        <f t="shared" si="0"/>
        <v>0</v>
      </c>
      <c r="I20" s="139">
        <f t="shared" si="1"/>
        <v>0</v>
      </c>
      <c r="N20" s="139">
        <f t="shared" si="2"/>
        <v>0</v>
      </c>
      <c r="S20" s="139">
        <f t="shared" si="3"/>
        <v>0</v>
      </c>
    </row>
    <row r="21" spans="1:19">
      <c r="D21" s="139">
        <f t="shared" si="0"/>
        <v>0</v>
      </c>
      <c r="I21" s="139">
        <f t="shared" si="1"/>
        <v>0</v>
      </c>
      <c r="N21" s="139">
        <f t="shared" si="2"/>
        <v>0</v>
      </c>
      <c r="S21" s="139">
        <f t="shared" si="3"/>
        <v>0</v>
      </c>
    </row>
    <row r="22" spans="1:19">
      <c r="D22" s="139">
        <f t="shared" si="0"/>
        <v>0</v>
      </c>
      <c r="I22" s="139">
        <f t="shared" si="1"/>
        <v>0</v>
      </c>
      <c r="N22" s="139">
        <f t="shared" si="2"/>
        <v>0</v>
      </c>
      <c r="S22" s="139">
        <f t="shared" si="3"/>
        <v>0</v>
      </c>
    </row>
    <row r="23" spans="1:19">
      <c r="D23" s="139">
        <f t="shared" si="0"/>
        <v>0</v>
      </c>
      <c r="I23" s="139">
        <f t="shared" si="1"/>
        <v>0</v>
      </c>
      <c r="N23" s="139">
        <f t="shared" si="2"/>
        <v>0</v>
      </c>
      <c r="S23" s="139">
        <f t="shared" si="3"/>
        <v>0</v>
      </c>
    </row>
    <row r="24" spans="1:19">
      <c r="D24" s="139">
        <f t="shared" si="0"/>
        <v>0</v>
      </c>
      <c r="I24" s="139">
        <f t="shared" si="1"/>
        <v>0</v>
      </c>
      <c r="N24" s="139">
        <f t="shared" si="2"/>
        <v>0</v>
      </c>
      <c r="S24" s="139">
        <f t="shared" si="3"/>
        <v>0</v>
      </c>
    </row>
    <row r="25" spans="1:19">
      <c r="D25" s="139">
        <f t="shared" si="0"/>
        <v>0</v>
      </c>
      <c r="I25" s="139">
        <f t="shared" si="1"/>
        <v>0</v>
      </c>
      <c r="N25" s="139">
        <f t="shared" si="2"/>
        <v>0</v>
      </c>
      <c r="S25" s="139">
        <f t="shared" si="3"/>
        <v>0</v>
      </c>
    </row>
    <row r="27" spans="1:19">
      <c r="A27" s="139" t="s">
        <v>69</v>
      </c>
      <c r="D27" s="139">
        <f>SUM(D5:D26)</f>
        <v>0</v>
      </c>
      <c r="F27" s="139" t="s">
        <v>69</v>
      </c>
      <c r="I27" s="139">
        <f>SUM(I5:I26)</f>
        <v>0</v>
      </c>
      <c r="K27" s="139" t="s">
        <v>69</v>
      </c>
      <c r="N27" s="139">
        <f>SUM(N5:N26)</f>
        <v>0</v>
      </c>
      <c r="P27" s="139" t="s">
        <v>69</v>
      </c>
      <c r="S27" s="139">
        <f>SUM(S5:S26)</f>
        <v>0</v>
      </c>
    </row>
    <row r="28" spans="1:19">
      <c r="A28" s="139" t="s">
        <v>70</v>
      </c>
      <c r="D28" s="139">
        <f>ROUNDUP(D27*D1*D2,-1)</f>
        <v>0</v>
      </c>
      <c r="F28" s="139" t="s">
        <v>70</v>
      </c>
      <c r="I28" s="139">
        <f>ROUNDUP(I27*I1*I2,-1)</f>
        <v>0</v>
      </c>
      <c r="K28" s="139" t="s">
        <v>70</v>
      </c>
      <c r="N28" s="139">
        <f>ROUNDUP(N27*N1*N2,-1)</f>
        <v>0</v>
      </c>
      <c r="P28" s="139" t="s">
        <v>70</v>
      </c>
      <c r="S28" s="139">
        <f>ROUNDUP(S27*S1*S2,-1)</f>
        <v>0</v>
      </c>
    </row>
    <row r="30" spans="1:19">
      <c r="D30" s="139">
        <f>B30*C30</f>
        <v>0</v>
      </c>
    </row>
    <row r="31" spans="1:19">
      <c r="D31" s="139">
        <f>B31*C31</f>
        <v>0</v>
      </c>
    </row>
    <row r="34" spans="4:4">
      <c r="D34" s="139">
        <f>D28+I28+N28+S28+D30+D31+D32</f>
        <v>0</v>
      </c>
    </row>
  </sheetData>
  <mergeCells count="4">
    <mergeCell ref="A3:D3"/>
    <mergeCell ref="F3:I3"/>
    <mergeCell ref="K3:N3"/>
    <mergeCell ref="P3: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>
      <selection activeCell="G18" sqref="G18"/>
    </sheetView>
  </sheetViews>
  <sheetFormatPr defaultColWidth="9.140625" defaultRowHeight="15"/>
  <cols>
    <col min="1" max="1" width="6.5703125" style="139" bestFit="1" customWidth="1"/>
    <col min="2" max="2" width="4.85546875" style="139" bestFit="1" customWidth="1"/>
    <col min="3" max="3" width="4.28515625" style="139" bestFit="1" customWidth="1"/>
    <col min="4" max="4" width="9" style="139" bestFit="1" customWidth="1"/>
    <col min="5" max="5" width="9.140625" style="139"/>
    <col min="6" max="6" width="6.5703125" style="139" bestFit="1" customWidth="1"/>
    <col min="7" max="7" width="4.85546875" style="139" bestFit="1" customWidth="1"/>
    <col min="8" max="8" width="4.28515625" style="139" bestFit="1" customWidth="1"/>
    <col min="9" max="9" width="9" style="139" bestFit="1" customWidth="1"/>
    <col min="10" max="16384" width="9.140625" style="139"/>
  </cols>
  <sheetData>
    <row r="1" spans="1:19" ht="15.75" thickBot="1">
      <c r="A1" s="135" t="s">
        <v>59</v>
      </c>
      <c r="B1" s="136"/>
      <c r="C1" s="137"/>
      <c r="D1" s="138">
        <v>1700</v>
      </c>
      <c r="F1" s="135" t="s">
        <v>59</v>
      </c>
      <c r="G1" s="136"/>
      <c r="H1" s="137"/>
      <c r="I1" s="138">
        <v>1700</v>
      </c>
      <c r="K1" s="135" t="s">
        <v>59</v>
      </c>
      <c r="L1" s="137"/>
      <c r="N1" s="138">
        <v>300</v>
      </c>
      <c r="P1" s="135" t="s">
        <v>59</v>
      </c>
      <c r="Q1" s="137"/>
      <c r="S1" s="138"/>
    </row>
    <row r="2" spans="1:19" ht="15.75" thickBot="1">
      <c r="A2" s="139" t="s">
        <v>60</v>
      </c>
      <c r="D2" s="139">
        <v>1.05</v>
      </c>
      <c r="F2" s="139" t="s">
        <v>60</v>
      </c>
      <c r="I2" s="139">
        <v>1.05</v>
      </c>
      <c r="K2" s="139" t="s">
        <v>60</v>
      </c>
      <c r="N2" s="139">
        <v>1.05</v>
      </c>
      <c r="P2" s="139" t="s">
        <v>60</v>
      </c>
      <c r="S2" s="139">
        <v>1</v>
      </c>
    </row>
    <row r="3" spans="1:19" ht="15.75" thickBot="1">
      <c r="A3" s="220" t="s">
        <v>61</v>
      </c>
      <c r="B3" s="221"/>
      <c r="C3" s="221"/>
      <c r="D3" s="222"/>
      <c r="F3" s="220" t="s">
        <v>62</v>
      </c>
      <c r="G3" s="221"/>
      <c r="H3" s="221"/>
      <c r="I3" s="222"/>
      <c r="K3" s="220" t="s">
        <v>63</v>
      </c>
      <c r="L3" s="221"/>
      <c r="M3" s="221"/>
      <c r="N3" s="222"/>
      <c r="P3" s="220" t="s">
        <v>64</v>
      </c>
      <c r="Q3" s="221"/>
      <c r="R3" s="221"/>
      <c r="S3" s="222"/>
    </row>
    <row r="4" spans="1:19">
      <c r="A4" s="139" t="s">
        <v>65</v>
      </c>
      <c r="B4" s="139" t="s">
        <v>66</v>
      </c>
      <c r="C4" s="139" t="s">
        <v>67</v>
      </c>
      <c r="D4" s="139" t="s">
        <v>68</v>
      </c>
      <c r="F4" s="139" t="s">
        <v>65</v>
      </c>
      <c r="G4" s="139" t="s">
        <v>66</v>
      </c>
      <c r="H4" s="139" t="s">
        <v>67</v>
      </c>
      <c r="I4" s="139" t="s">
        <v>68</v>
      </c>
      <c r="K4" s="139" t="s">
        <v>65</v>
      </c>
      <c r="L4" s="139" t="s">
        <v>66</v>
      </c>
      <c r="M4" s="139" t="s">
        <v>67</v>
      </c>
      <c r="N4" s="139" t="s">
        <v>68</v>
      </c>
      <c r="P4" s="139" t="s">
        <v>65</v>
      </c>
      <c r="Q4" s="139" t="s">
        <v>66</v>
      </c>
      <c r="R4" s="139" t="s">
        <v>67</v>
      </c>
      <c r="S4" s="139" t="s">
        <v>68</v>
      </c>
    </row>
    <row r="5" spans="1:19">
      <c r="D5" s="139">
        <f>(A5*B5*C5)/1000000</f>
        <v>0</v>
      </c>
      <c r="I5" s="139">
        <f>(F5*G5*H5)/1000000</f>
        <v>0</v>
      </c>
      <c r="N5" s="139">
        <f>(K5*L5*M5)/1000000</f>
        <v>0</v>
      </c>
      <c r="S5" s="139">
        <f>(P5*Q5*R5)/1000000</f>
        <v>0</v>
      </c>
    </row>
    <row r="6" spans="1:19">
      <c r="D6" s="139">
        <f t="shared" ref="D6:D25" si="0">(A6*B6*C6)/1000000</f>
        <v>0</v>
      </c>
      <c r="I6" s="139">
        <f>(F6*G6*H6)/1000000</f>
        <v>0</v>
      </c>
      <c r="N6" s="139">
        <f>(K6*L6*M6)/1000000</f>
        <v>0</v>
      </c>
      <c r="S6" s="139">
        <f>(P6*Q6*R6)/1000000</f>
        <v>0</v>
      </c>
    </row>
    <row r="7" spans="1:19">
      <c r="D7" s="139">
        <f t="shared" si="0"/>
        <v>0</v>
      </c>
      <c r="I7" s="139">
        <f t="shared" ref="I7:I25" si="1">(F7*G7*H7)/1000000</f>
        <v>0</v>
      </c>
      <c r="N7" s="139">
        <f t="shared" ref="N7:N25" si="2">(K7*L7*M7)/1000000</f>
        <v>0</v>
      </c>
      <c r="S7" s="139">
        <f t="shared" ref="S7:S25" si="3">(P7*Q7*R7)/1000000</f>
        <v>0</v>
      </c>
    </row>
    <row r="8" spans="1:19">
      <c r="D8" s="139">
        <f t="shared" si="0"/>
        <v>0</v>
      </c>
      <c r="I8" s="139">
        <f t="shared" si="1"/>
        <v>0</v>
      </c>
      <c r="N8" s="139">
        <f t="shared" si="2"/>
        <v>0</v>
      </c>
      <c r="S8" s="139">
        <f t="shared" si="3"/>
        <v>0</v>
      </c>
    </row>
    <row r="9" spans="1:19">
      <c r="D9" s="139">
        <f t="shared" si="0"/>
        <v>0</v>
      </c>
      <c r="I9" s="139">
        <f t="shared" si="1"/>
        <v>0</v>
      </c>
      <c r="N9" s="139">
        <f t="shared" si="2"/>
        <v>0</v>
      </c>
      <c r="S9" s="139">
        <f t="shared" si="3"/>
        <v>0</v>
      </c>
    </row>
    <row r="10" spans="1:19">
      <c r="D10" s="139">
        <f t="shared" si="0"/>
        <v>0</v>
      </c>
      <c r="I10" s="139">
        <f t="shared" si="1"/>
        <v>0</v>
      </c>
      <c r="N10" s="139">
        <f t="shared" si="2"/>
        <v>0</v>
      </c>
      <c r="S10" s="139">
        <f t="shared" si="3"/>
        <v>0</v>
      </c>
    </row>
    <row r="11" spans="1:19">
      <c r="D11" s="139">
        <f t="shared" si="0"/>
        <v>0</v>
      </c>
      <c r="I11" s="139">
        <f t="shared" si="1"/>
        <v>0</v>
      </c>
      <c r="N11" s="139">
        <f t="shared" si="2"/>
        <v>0</v>
      </c>
      <c r="S11" s="139">
        <f t="shared" si="3"/>
        <v>0</v>
      </c>
    </row>
    <row r="12" spans="1:19">
      <c r="D12" s="139">
        <f t="shared" si="0"/>
        <v>0</v>
      </c>
      <c r="I12" s="139">
        <f t="shared" si="1"/>
        <v>0</v>
      </c>
      <c r="N12" s="139">
        <f t="shared" si="2"/>
        <v>0</v>
      </c>
      <c r="S12" s="139">
        <f t="shared" si="3"/>
        <v>0</v>
      </c>
    </row>
    <row r="13" spans="1:19">
      <c r="D13" s="139">
        <f t="shared" si="0"/>
        <v>0</v>
      </c>
      <c r="I13" s="139">
        <f t="shared" si="1"/>
        <v>0</v>
      </c>
      <c r="N13" s="139">
        <f t="shared" si="2"/>
        <v>0</v>
      </c>
      <c r="S13" s="139">
        <f t="shared" si="3"/>
        <v>0</v>
      </c>
    </row>
    <row r="14" spans="1:19">
      <c r="D14" s="139">
        <f t="shared" si="0"/>
        <v>0</v>
      </c>
      <c r="I14" s="139">
        <f t="shared" si="1"/>
        <v>0</v>
      </c>
      <c r="N14" s="139">
        <f t="shared" si="2"/>
        <v>0</v>
      </c>
      <c r="S14" s="139">
        <f t="shared" si="3"/>
        <v>0</v>
      </c>
    </row>
    <row r="15" spans="1:19">
      <c r="D15" s="139">
        <f t="shared" si="0"/>
        <v>0</v>
      </c>
      <c r="I15" s="139">
        <f t="shared" si="1"/>
        <v>0</v>
      </c>
      <c r="N15" s="139">
        <f t="shared" si="2"/>
        <v>0</v>
      </c>
      <c r="S15" s="139">
        <f t="shared" si="3"/>
        <v>0</v>
      </c>
    </row>
    <row r="16" spans="1:19">
      <c r="D16" s="139">
        <f t="shared" si="0"/>
        <v>0</v>
      </c>
      <c r="I16" s="139">
        <f t="shared" si="1"/>
        <v>0</v>
      </c>
      <c r="N16" s="139">
        <f t="shared" si="2"/>
        <v>0</v>
      </c>
      <c r="S16" s="139">
        <f t="shared" si="3"/>
        <v>0</v>
      </c>
    </row>
    <row r="17" spans="1:19">
      <c r="D17" s="139">
        <f t="shared" si="0"/>
        <v>0</v>
      </c>
      <c r="I17" s="139">
        <f t="shared" si="1"/>
        <v>0</v>
      </c>
      <c r="N17" s="139">
        <f t="shared" si="2"/>
        <v>0</v>
      </c>
      <c r="S17" s="139">
        <f t="shared" si="3"/>
        <v>0</v>
      </c>
    </row>
    <row r="18" spans="1:19">
      <c r="D18" s="139">
        <f t="shared" si="0"/>
        <v>0</v>
      </c>
      <c r="I18" s="139">
        <f t="shared" si="1"/>
        <v>0</v>
      </c>
      <c r="N18" s="139">
        <f t="shared" si="2"/>
        <v>0</v>
      </c>
      <c r="S18" s="139">
        <f t="shared" si="3"/>
        <v>0</v>
      </c>
    </row>
    <row r="19" spans="1:19">
      <c r="D19" s="139">
        <f t="shared" si="0"/>
        <v>0</v>
      </c>
      <c r="I19" s="139">
        <f t="shared" si="1"/>
        <v>0</v>
      </c>
      <c r="N19" s="139">
        <f t="shared" si="2"/>
        <v>0</v>
      </c>
      <c r="S19" s="139">
        <f t="shared" si="3"/>
        <v>0</v>
      </c>
    </row>
    <row r="20" spans="1:19">
      <c r="D20" s="139">
        <f t="shared" si="0"/>
        <v>0</v>
      </c>
      <c r="I20" s="139">
        <f t="shared" si="1"/>
        <v>0</v>
      </c>
      <c r="N20" s="139">
        <f t="shared" si="2"/>
        <v>0</v>
      </c>
      <c r="S20" s="139">
        <f t="shared" si="3"/>
        <v>0</v>
      </c>
    </row>
    <row r="21" spans="1:19">
      <c r="D21" s="139">
        <f t="shared" si="0"/>
        <v>0</v>
      </c>
      <c r="I21" s="139">
        <f t="shared" si="1"/>
        <v>0</v>
      </c>
      <c r="N21" s="139">
        <f t="shared" si="2"/>
        <v>0</v>
      </c>
      <c r="S21" s="139">
        <f t="shared" si="3"/>
        <v>0</v>
      </c>
    </row>
    <row r="22" spans="1:19">
      <c r="D22" s="139">
        <f t="shared" si="0"/>
        <v>0</v>
      </c>
      <c r="I22" s="139">
        <f t="shared" si="1"/>
        <v>0</v>
      </c>
      <c r="N22" s="139">
        <f t="shared" si="2"/>
        <v>0</v>
      </c>
      <c r="S22" s="139">
        <f t="shared" si="3"/>
        <v>0</v>
      </c>
    </row>
    <row r="23" spans="1:19">
      <c r="D23" s="139">
        <f t="shared" si="0"/>
        <v>0</v>
      </c>
      <c r="I23" s="139">
        <f t="shared" si="1"/>
        <v>0</v>
      </c>
      <c r="N23" s="139">
        <f t="shared" si="2"/>
        <v>0</v>
      </c>
      <c r="S23" s="139">
        <f t="shared" si="3"/>
        <v>0</v>
      </c>
    </row>
    <row r="24" spans="1:19">
      <c r="D24" s="139">
        <f t="shared" si="0"/>
        <v>0</v>
      </c>
      <c r="I24" s="139">
        <f t="shared" si="1"/>
        <v>0</v>
      </c>
      <c r="N24" s="139">
        <f t="shared" si="2"/>
        <v>0</v>
      </c>
      <c r="S24" s="139">
        <f t="shared" si="3"/>
        <v>0</v>
      </c>
    </row>
    <row r="25" spans="1:19">
      <c r="D25" s="139">
        <f t="shared" si="0"/>
        <v>0</v>
      </c>
      <c r="I25" s="139">
        <f t="shared" si="1"/>
        <v>0</v>
      </c>
      <c r="N25" s="139">
        <f t="shared" si="2"/>
        <v>0</v>
      </c>
      <c r="S25" s="139">
        <f t="shared" si="3"/>
        <v>0</v>
      </c>
    </row>
    <row r="27" spans="1:19">
      <c r="A27" s="139" t="s">
        <v>69</v>
      </c>
      <c r="D27" s="139">
        <f>SUM(D5:D26)</f>
        <v>0</v>
      </c>
      <c r="F27" s="139" t="s">
        <v>69</v>
      </c>
      <c r="I27" s="139">
        <f>SUM(I5:I26)</f>
        <v>0</v>
      </c>
      <c r="K27" s="139" t="s">
        <v>69</v>
      </c>
      <c r="N27" s="139">
        <f>SUM(N5:N26)</f>
        <v>0</v>
      </c>
      <c r="P27" s="139" t="s">
        <v>69</v>
      </c>
      <c r="S27" s="139">
        <f>SUM(S5:S26)</f>
        <v>0</v>
      </c>
    </row>
    <row r="28" spans="1:19">
      <c r="A28" s="139" t="s">
        <v>70</v>
      </c>
      <c r="D28" s="139">
        <f>ROUNDUP(D27*D1*D2,-1)</f>
        <v>0</v>
      </c>
      <c r="F28" s="139" t="s">
        <v>70</v>
      </c>
      <c r="I28" s="139">
        <f>ROUNDUP(I27*I1*I2,-1)</f>
        <v>0</v>
      </c>
      <c r="K28" s="139" t="s">
        <v>70</v>
      </c>
      <c r="N28" s="139">
        <f>ROUNDUP(N27*N1*N2,-1)</f>
        <v>0</v>
      </c>
      <c r="P28" s="139" t="s">
        <v>70</v>
      </c>
      <c r="S28" s="139">
        <f>ROUNDUP(S27*S1*S2,-1)</f>
        <v>0</v>
      </c>
    </row>
    <row r="30" spans="1:19">
      <c r="D30" s="139">
        <f>B30*C30</f>
        <v>0</v>
      </c>
    </row>
    <row r="31" spans="1:19">
      <c r="D31" s="139">
        <f>B31*C31</f>
        <v>0</v>
      </c>
    </row>
    <row r="34" spans="4:4">
      <c r="D34" s="139">
        <f>D28+I28+N28+S28+D30+D31+D32</f>
        <v>0</v>
      </c>
    </row>
  </sheetData>
  <mergeCells count="4">
    <mergeCell ref="A3:D3"/>
    <mergeCell ref="F3:I3"/>
    <mergeCell ref="K3:N3"/>
    <mergeCell ref="P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БЛАНК</vt:lpstr>
      <vt:lpstr>Спецификация клиенту</vt:lpstr>
      <vt:lpstr>Фасады</vt:lpstr>
      <vt:lpstr>Фасады </vt:lpstr>
      <vt:lpstr>Лист1</vt:lpstr>
      <vt:lpstr>Лист1 (2)</vt:lpstr>
      <vt:lpstr>'Спецификация клиенту'!Каркас</vt:lpstr>
      <vt:lpstr>'Спецификация клиенту'!Область_печати</vt:lpstr>
      <vt:lpstr>'Спецификация клиенту'!Фасад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2025-06-10T16:53:11Z</dcterms:modified>
</cp:coreProperties>
</file>